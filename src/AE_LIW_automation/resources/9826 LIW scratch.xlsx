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updateLinks="always" defaultThemeVersion="166925"/>
  <mc:AlternateContent xmlns:mc="http://schemas.openxmlformats.org/markup-compatibility/2006">
    <mc:Choice Requires="x15">
      <x15ac:absPath xmlns:x15ac="http://schemas.microsoft.com/office/spreadsheetml/2010/11/ac" url="https://d.docs.live.net/9d691d3bd590836a/Marketing Reports/CCR Reports/Austin Energy/AE 2024 Q4/AE LIW 2024 Q4/Working/"/>
    </mc:Choice>
  </mc:AlternateContent>
  <xr:revisionPtr revIDLastSave="1324" documentId="8_{84B8B064-CA48-B54C-8220-50CABF49DB6E}" xr6:coauthVersionLast="47" xr6:coauthVersionMax="47" xr10:uidLastSave="{082C796C-9552-0E4C-8F63-4C13EA093900}"/>
  <bookViews>
    <workbookView xWindow="0" yWindow="16440" windowWidth="28800" windowHeight="15960" firstSheet="32" activeTab="47" xr2:uid="{1D7983DE-EC58-D64B-B1C5-40EA1F2100DF}"/>
  </bookViews>
  <sheets>
    <sheet name="Slide 6" sheetId="37" r:id="rId1"/>
    <sheet name="Slide 7" sheetId="38" r:id="rId2"/>
    <sheet name="Slide 8 " sheetId="9" r:id="rId3"/>
    <sheet name="Slide 9" sheetId="39" r:id="rId4"/>
    <sheet name="Slide 10" sheetId="10" r:id="rId5"/>
    <sheet name="Slide 11" sheetId="11" r:id="rId6"/>
    <sheet name="Slide 12" sheetId="12" r:id="rId7"/>
    <sheet name="Slide 13" sheetId="13" r:id="rId8"/>
    <sheet name="Slide 14" sheetId="14" r:id="rId9"/>
    <sheet name="Slide 15" sheetId="15" r:id="rId10"/>
    <sheet name="Slide 16" sheetId="16" r:id="rId11"/>
    <sheet name="Slide 17" sheetId="40" r:id="rId12"/>
    <sheet name="Slide 18" sheetId="47" r:id="rId13"/>
    <sheet name="Slide 19" sheetId="1" r:id="rId14"/>
    <sheet name="Slide 21" sheetId="17" r:id="rId15"/>
    <sheet name="Slide 22" sheetId="18" r:id="rId16"/>
    <sheet name="Slide 23" sheetId="19" r:id="rId17"/>
    <sheet name="Slide 24" sheetId="20" r:id="rId18"/>
    <sheet name="Slide 25" sheetId="41" r:id="rId19"/>
    <sheet name="Slide 26" sheetId="21" r:id="rId20"/>
    <sheet name="Slide 27" sheetId="22" r:id="rId21"/>
    <sheet name="Slide 28" sheetId="23" r:id="rId22"/>
    <sheet name="Slide 29" sheetId="24" r:id="rId23"/>
    <sheet name="Slide 30" sheetId="25" r:id="rId24"/>
    <sheet name="Slide 31" sheetId="26" r:id="rId25"/>
    <sheet name="Slie 32" sheetId="27" r:id="rId26"/>
    <sheet name="Slide 33" sheetId="2" r:id="rId27"/>
    <sheet name="Slide 35" sheetId="3" r:id="rId28"/>
    <sheet name="Slide 36" sheetId="28" r:id="rId29"/>
    <sheet name="Slide 37" sheetId="29" r:id="rId30"/>
    <sheet name="Slide 38" sheetId="30" r:id="rId31"/>
    <sheet name="Slide 39  " sheetId="4" r:id="rId32"/>
    <sheet name="Slide 40" sheetId="31" r:id="rId33"/>
    <sheet name="Slide 41" sheetId="5" r:id="rId34"/>
    <sheet name="Slide 43" sheetId="32" r:id="rId35"/>
    <sheet name="Slide 44" sheetId="6" r:id="rId36"/>
    <sheet name="Slide 45" sheetId="33" r:id="rId37"/>
    <sheet name="Slide 46" sheetId="7" r:id="rId38"/>
    <sheet name="Slide 48" sheetId="34" r:id="rId39"/>
    <sheet name="Slide 50" sheetId="35" r:id="rId40"/>
    <sheet name="Sheet1" sheetId="48" r:id="rId41"/>
    <sheet name="Slide 51" sheetId="8" r:id="rId42"/>
    <sheet name="Slide 55" sheetId="42" r:id="rId43"/>
    <sheet name="Slide 56" sheetId="43" r:id="rId44"/>
    <sheet name="Slide 57" sheetId="44" r:id="rId45"/>
    <sheet name="Slide 58" sheetId="45" r:id="rId46"/>
    <sheet name="Slide 59" sheetId="36" r:id="rId47"/>
    <sheet name="Slide 60" sheetId="46" r:id="rId4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6" l="1"/>
  <c r="E9" i="18"/>
  <c r="E5" i="18"/>
  <c r="E8" i="17"/>
  <c r="E7" i="17"/>
  <c r="E6" i="17"/>
  <c r="E4" i="17"/>
  <c r="E3" i="17"/>
  <c r="E2" i="17"/>
  <c r="I17" i="6"/>
  <c r="K8" i="6"/>
  <c r="K7" i="6"/>
  <c r="E2" i="34"/>
  <c r="E3" i="34"/>
  <c r="E4" i="34"/>
  <c r="E5" i="34"/>
  <c r="H3" i="34"/>
  <c r="H4" i="34"/>
  <c r="H5" i="34"/>
  <c r="H2" i="34"/>
  <c r="H11" i="31"/>
  <c r="H12" i="31"/>
  <c r="H13" i="31"/>
  <c r="E11" i="31"/>
  <c r="E12" i="31"/>
  <c r="E13" i="31"/>
  <c r="E10" i="31"/>
  <c r="H10" i="31"/>
  <c r="E12" i="28"/>
  <c r="E11" i="28"/>
  <c r="E10" i="28"/>
  <c r="H11" i="28"/>
  <c r="H12" i="28"/>
  <c r="H13" i="28"/>
  <c r="H10" i="28"/>
  <c r="E13" i="28"/>
  <c r="E5" i="28"/>
  <c r="E4" i="28"/>
  <c r="E3" i="28"/>
  <c r="E2" i="28"/>
  <c r="H16" i="19"/>
  <c r="H17" i="19"/>
  <c r="H18" i="19"/>
  <c r="H19" i="19"/>
  <c r="H20" i="19"/>
  <c r="H21" i="19"/>
  <c r="H22" i="19"/>
  <c r="H15" i="19"/>
  <c r="E16" i="19"/>
  <c r="E17" i="19"/>
  <c r="E18" i="19"/>
  <c r="E19" i="19"/>
  <c r="E20" i="19"/>
  <c r="E21" i="19"/>
  <c r="E22" i="19"/>
  <c r="E15" i="19"/>
  <c r="H3" i="18"/>
  <c r="H4" i="18"/>
  <c r="H5" i="18"/>
  <c r="H6" i="18"/>
  <c r="H7" i="18"/>
  <c r="H8" i="18"/>
  <c r="H9" i="18"/>
  <c r="H2" i="18"/>
  <c r="E3" i="18"/>
  <c r="E4" i="18"/>
  <c r="E6" i="18"/>
  <c r="E7" i="18"/>
  <c r="E8" i="18"/>
  <c r="E2" i="18"/>
  <c r="H3" i="17"/>
  <c r="H4" i="17"/>
  <c r="H5" i="17"/>
  <c r="H6" i="17"/>
  <c r="H7" i="17"/>
  <c r="H8" i="17"/>
  <c r="H9" i="17"/>
  <c r="H2" i="17"/>
  <c r="E5" i="17"/>
  <c r="E9" i="17"/>
</calcChain>
</file>

<file path=xl/sharedStrings.xml><?xml version="1.0" encoding="utf-8"?>
<sst xmlns="http://schemas.openxmlformats.org/spreadsheetml/2006/main" count="1385" uniqueCount="353">
  <si>
    <t>Q3 2023</t>
  </si>
  <si>
    <t>Promote, advertise more</t>
  </si>
  <si>
    <t>Replace doors, windows</t>
  </si>
  <si>
    <t>Enroll more people in program</t>
  </si>
  <si>
    <t>More communication</t>
  </si>
  <si>
    <t>Have more repair options available</t>
  </si>
  <si>
    <t>Follow-up, Supervise contractor work</t>
  </si>
  <si>
    <t>Use more skilled contractors</t>
  </si>
  <si>
    <t>Nothing/no changes needed</t>
  </si>
  <si>
    <t>Increase water, energy saving options</t>
  </si>
  <si>
    <t>Do not know</t>
  </si>
  <si>
    <t>All other</t>
  </si>
  <si>
    <t xml:space="preserve">Base: </t>
  </si>
  <si>
    <t xml:space="preserve">Satisfied with work, no complaints </t>
  </si>
  <si>
    <t>Provided helpful information, knowledgeable</t>
  </si>
  <si>
    <t>Professional</t>
  </si>
  <si>
    <t>Patient, kind, nice, friendly, caring, polite employee</t>
  </si>
  <si>
    <t>Quick, punctual</t>
  </si>
  <si>
    <t>Appreciate program, service</t>
  </si>
  <si>
    <t>Did not leave area clean</t>
  </si>
  <si>
    <t>Incomplete job, items or issues not addressed</t>
  </si>
  <si>
    <t>Good communication</t>
  </si>
  <si>
    <t>Cleaned up after themselves</t>
  </si>
  <si>
    <t>Nothing/no changes</t>
  </si>
  <si>
    <t>Saving money on my utility bill</t>
  </si>
  <si>
    <t>Saving energy and/or water</t>
  </si>
  <si>
    <t>Knowing I am doing my part for the planet</t>
  </si>
  <si>
    <t>Feeling more comfortable in my home</t>
  </si>
  <si>
    <t>Using less energy and/or water</t>
  </si>
  <si>
    <t>Participating in/using renewable energy</t>
  </si>
  <si>
    <t>Setting my thermostat at a higher temperature</t>
  </si>
  <si>
    <t>Solar screens/panels</t>
  </si>
  <si>
    <t>Lower rates</t>
  </si>
  <si>
    <t>Replace windows</t>
  </si>
  <si>
    <t>Provide insulation</t>
  </si>
  <si>
    <t>Replace appliances</t>
  </si>
  <si>
    <t>Repair non-energy efficiency related issues</t>
  </si>
  <si>
    <t>Show ways to lower energy costs</t>
  </si>
  <si>
    <t>Pay bill for me</t>
  </si>
  <si>
    <t>Nothing/no suggestions</t>
  </si>
  <si>
    <t>Do not know, unsure</t>
  </si>
  <si>
    <t>Help provide more material (thermostat, etc.)</t>
  </si>
  <si>
    <t xml:space="preserve"> </t>
  </si>
  <si>
    <t>Q2 2023
(N=40)</t>
  </si>
  <si>
    <t>Q3 2023
(N=16)</t>
  </si>
  <si>
    <t>Friends/family/word-of-mouth</t>
  </si>
  <si>
    <t>Utility bill inserts</t>
  </si>
  <si>
    <t>Austin Energy's website</t>
  </si>
  <si>
    <t>Contractors</t>
  </si>
  <si>
    <t>On city's website</t>
  </si>
  <si>
    <t>Radio</t>
  </si>
  <si>
    <t>Newspaper advertisement</t>
  </si>
  <si>
    <t>AE Customer Assistance Program (CAPS)</t>
  </si>
  <si>
    <t>Email</t>
  </si>
  <si>
    <t>Television</t>
  </si>
  <si>
    <t xml:space="preserve">All other </t>
  </si>
  <si>
    <t>Tips on reducing energy and water costs</t>
  </si>
  <si>
    <t>Any new programs or recaps of old programs</t>
  </si>
  <si>
    <t>Power outages</t>
  </si>
  <si>
    <t>Usage information</t>
  </si>
  <si>
    <t>Rate changes</t>
  </si>
  <si>
    <t>General information</t>
  </si>
  <si>
    <t>No complaints, nothing</t>
  </si>
  <si>
    <t>Words to Describe Program to Other Participants</t>
  </si>
  <si>
    <t>Helpful</t>
  </si>
  <si>
    <t>Home improvements</t>
  </si>
  <si>
    <t>No changes, stay the same</t>
  </si>
  <si>
    <t>None/nothing</t>
  </si>
  <si>
    <t xml:space="preserve">Don’t know </t>
  </si>
  <si>
    <t>Base:</t>
  </si>
  <si>
    <t>Q4 2023</t>
  </si>
  <si>
    <t>Increased</t>
  </si>
  <si>
    <t>Stayed 
the same</t>
  </si>
  <si>
    <t>Decreased</t>
  </si>
  <si>
    <t>Never an 
issue</t>
  </si>
  <si>
    <t>Q4 2023
(N=28)</t>
  </si>
  <si>
    <t>Stayed the same</t>
  </si>
  <si>
    <t>Was never an issue</t>
  </si>
  <si>
    <t>Column1</t>
  </si>
  <si>
    <t>Better communication</t>
  </si>
  <si>
    <t>Complete all promised work</t>
  </si>
  <si>
    <t>Do work correctly the first time</t>
  </si>
  <si>
    <t>More oversight of repairs</t>
  </si>
  <si>
    <t>Nothing, satisfied</t>
  </si>
  <si>
    <t>Do not know, do not remember</t>
  </si>
  <si>
    <t>8</t>
  </si>
  <si>
    <t>9</t>
  </si>
  <si>
    <t>10</t>
  </si>
  <si>
    <t>Yes</t>
  </si>
  <si>
    <t>No</t>
  </si>
  <si>
    <t>Complete work correctly</t>
  </si>
  <si>
    <t>Cleaned up mess, repaired damage they caused</t>
  </si>
  <si>
    <t>I had no concerns</t>
  </si>
  <si>
    <t>Don't know</t>
  </si>
  <si>
    <t>Q4 2023
(n=14)</t>
  </si>
  <si>
    <t>Better quality materials</t>
  </si>
  <si>
    <t>Better quality workmanship, better quality repair</t>
  </si>
  <si>
    <t>More communication, more information</t>
  </si>
  <si>
    <t>Do not know, not familiar with program</t>
  </si>
  <si>
    <t>Social service agency referral</t>
  </si>
  <si>
    <t>Word of mouth</t>
  </si>
  <si>
    <t>Utility bill insert</t>
  </si>
  <si>
    <t>Austin 311</t>
  </si>
  <si>
    <t>I called them</t>
  </si>
  <si>
    <t>Austin Energy called me</t>
  </si>
  <si>
    <t xml:space="preserve">Utility Contact Center </t>
  </si>
  <si>
    <t xml:space="preserve">Email </t>
  </si>
  <si>
    <t>Phone call</t>
  </si>
  <si>
    <t>Text messages</t>
  </si>
  <si>
    <t>Direct mail</t>
  </si>
  <si>
    <t>Austin Energy's Website</t>
  </si>
  <si>
    <t xml:space="preserve">Do not know </t>
  </si>
  <si>
    <t>Income Qualified Assistance</t>
  </si>
  <si>
    <t>Low Income Home Upgrade</t>
  </si>
  <si>
    <t xml:space="preserve">Low Income Weatherization </t>
  </si>
  <si>
    <t>Don’t know</t>
  </si>
  <si>
    <t>Free program</t>
  </si>
  <si>
    <t>Poor</t>
  </si>
  <si>
    <t xml:space="preserve">Fair </t>
  </si>
  <si>
    <t>Good</t>
  </si>
  <si>
    <t>Very Good</t>
  </si>
  <si>
    <t>Excellent</t>
  </si>
  <si>
    <t>Q1 2024</t>
  </si>
  <si>
    <t>Don't know, unsure</t>
  </si>
  <si>
    <t>Q1 2024
(N=12)</t>
  </si>
  <si>
    <t>Followed up, reviewed work</t>
  </si>
  <si>
    <t>Q1 2024 
(N=12)</t>
  </si>
  <si>
    <t>Q1 2024
(n=7)</t>
  </si>
  <si>
    <t>Not knowledgeable/not done properly</t>
  </si>
  <si>
    <t> 0</t>
  </si>
  <si>
    <t>They should talk to homeowner</t>
  </si>
  <si>
    <t>Satisfied with work, no complaints</t>
  </si>
  <si>
    <t>Nothing</t>
  </si>
  <si>
    <t>Assistance with paying bill</t>
  </si>
  <si>
    <t>Amazing</t>
  </si>
  <si>
    <t>Cost efficient home weatherization improvement.</t>
  </si>
  <si>
    <t>Worth it</t>
  </si>
  <si>
    <t>Surreal</t>
  </si>
  <si>
    <t>Try to get enrolled</t>
  </si>
  <si>
    <t>Patients on the waiting list</t>
  </si>
  <si>
    <t>Over advertisement of the program</t>
  </si>
  <si>
    <t>There are more things being high priority like cutting down the trees, so they don't damage the power lines</t>
  </si>
  <si>
    <t>It’s important for folks who need it, not for those who don’t</t>
  </si>
  <si>
    <t>Q2 2024</t>
  </si>
  <si>
    <t>Good number</t>
  </si>
  <si>
    <t>Faster response, shorter wait times</t>
  </si>
  <si>
    <t>Q2 2024
(N=44)</t>
  </si>
  <si>
    <t>sum of displayed values</t>
  </si>
  <si>
    <t>sum of cell values</t>
  </si>
  <si>
    <t>Q2 2024 
(N=44)</t>
  </si>
  <si>
    <t>Q13_1 - 13. Was there anything about your experience with the people who weatherized your home that you would like to share with Austin Energy?</t>
  </si>
  <si>
    <t/>
  </si>
  <si>
    <t>Frequency</t>
  </si>
  <si>
    <t>Percent</t>
  </si>
  <si>
    <t>Valid Percent</t>
  </si>
  <si>
    <t>Cumulative Percent</t>
  </si>
  <si>
    <t>Valid</t>
  </si>
  <si>
    <t>Total</t>
  </si>
  <si>
    <t>Q13_2 - 13. Was there anything about your experience with the people who weatherized your home that you would like to share with Austin Energy?</t>
  </si>
  <si>
    <t>Missing</t>
  </si>
  <si>
    <t>System</t>
  </si>
  <si>
    <t>Unchecked</t>
  </si>
  <si>
    <t>Checked</t>
  </si>
  <si>
    <t>Solar screens, panels</t>
  </si>
  <si>
    <t>Replace, repair doors</t>
  </si>
  <si>
    <t>Replace, repair roof</t>
  </si>
  <si>
    <t>Q1 - 1. How did you first make contact with Austin Energy about receiving free home weatherization?</t>
  </si>
  <si>
    <t>Q30_1 - 30. What types of information would you find useful?</t>
  </si>
  <si>
    <t>Low Income Weatherization</t>
  </si>
  <si>
    <t>Don’t know, refused</t>
  </si>
  <si>
    <t>Justifiable</t>
  </si>
  <si>
    <t>All around great program</t>
  </si>
  <si>
    <t>Cool</t>
  </si>
  <si>
    <t>Customer assistance weatherization</t>
  </si>
  <si>
    <t>Doing a great job to help</t>
  </si>
  <si>
    <t>Easy</t>
  </si>
  <si>
    <t>Great program</t>
  </si>
  <si>
    <t>Home energy improvements</t>
  </si>
  <si>
    <t>Income qualified weatherization upgrade</t>
  </si>
  <si>
    <t>Incredibly beneficial</t>
  </si>
  <si>
    <t>Outstanding value</t>
  </si>
  <si>
    <t>Pass</t>
  </si>
  <si>
    <t>Weatherization assistance</t>
  </si>
  <si>
    <t>Relieving</t>
  </si>
  <si>
    <t>Blessing</t>
  </si>
  <si>
    <t>Check it out</t>
  </si>
  <si>
    <t>Perfect program for somebody who can afford the upgrades</t>
  </si>
  <si>
    <t>The program is good</t>
  </si>
  <si>
    <t>Very useful</t>
  </si>
  <si>
    <t>A way to reduce your energy use in the summer</t>
  </si>
  <si>
    <t>Energy saving assist</t>
  </si>
  <si>
    <t>Very good</t>
  </si>
  <si>
    <t>Fair</t>
  </si>
  <si>
    <t>Prefer not to respond</t>
  </si>
  <si>
    <t>Q3 2024
(N=19)</t>
  </si>
  <si>
    <t>Q14_r5 - 14. I’m now going to read a list of items that may or may not have changed since your energy improvements were complete. Quality of natural light/light from windows</t>
  </si>
  <si>
    <t>Q14_r6 - 14. I’m now going to read a list of items that may or may not have changed since your energy improvements were complete. Comfortable temperature throughout home</t>
  </si>
  <si>
    <t>Q14_r7 - 14. I’m now going to read a list of items that may or may not have changed since your energy improvements were complete. Feeling safe in home</t>
  </si>
  <si>
    <t>Q14_r8 - 14. I’m now going to read a list of items that may or may not have changed since your energy improvements were complete. Feeling proud of your home</t>
  </si>
  <si>
    <t>Q14_r9 - 14. I’m now going to read a list of items that may or may not have changed since your energy improvements were complete. Feeling healthy</t>
  </si>
  <si>
    <t>Q11 - 11. How would you rate your satisfaction with the Austin Energy weatherization program?</t>
  </si>
  <si>
    <t>6</t>
  </si>
  <si>
    <t>10 (Very Satisfied)</t>
  </si>
  <si>
    <t>Q3 2024</t>
  </si>
  <si>
    <t>Q4 2023
(n=17)</t>
  </si>
  <si>
    <t>Q1 2024
(n=5)</t>
  </si>
  <si>
    <t>Q2 2024
(n=16)</t>
  </si>
  <si>
    <t>Q3 2024
(n=9)</t>
  </si>
  <si>
    <t>Inform me of what is being repaired</t>
  </si>
  <si>
    <t>Q3 2024 
(N=19)</t>
  </si>
  <si>
    <t>Q2 2024
(n=8)</t>
  </si>
  <si>
    <t>Q3 2024
(n=8)</t>
  </si>
  <si>
    <t>Q24 - 24. How satisfied are you with the amount of energy savings you are seeing on your bill since your energy improvements were completed?</t>
  </si>
  <si>
    <t>1 (Very Dissatisfied)</t>
  </si>
  <si>
    <t>5</t>
  </si>
  <si>
    <t>7</t>
  </si>
  <si>
    <t>Too soon to assess the savings</t>
  </si>
  <si>
    <t>Q26_1 - 26. If there was one thing Austin Energy could do to help you save energy, what would it be?</t>
  </si>
  <si>
    <t>Inclease energy savings, lower bill</t>
  </si>
  <si>
    <t>Other Mention</t>
  </si>
  <si>
    <t>Austin Energy’s website</t>
  </si>
  <si>
    <t>On City’s website</t>
  </si>
  <si>
    <t>Billboards</t>
  </si>
  <si>
    <t>Mall advertisement</t>
  </si>
  <si>
    <t>Friends/family/word of mouth</t>
  </si>
  <si>
    <t>Other</t>
  </si>
  <si>
    <t>Door hangers</t>
  </si>
  <si>
    <t>Phone</t>
  </si>
  <si>
    <t>Facebook, Twitter, or other Social Media</t>
  </si>
  <si>
    <t>D11 - D11. Based on your experience in the weatherization program, what phrase do you think would best describe the program?</t>
  </si>
  <si>
    <t>D12 - D12. Are there other words you think would best describe the program to other potential participants?</t>
  </si>
  <si>
    <t>It will help the environment</t>
  </si>
  <si>
    <t>None that I can think of.</t>
  </si>
  <si>
    <t>Pretty good</t>
  </si>
  <si>
    <t>Very helpful</t>
  </si>
  <si>
    <t>Ethnicity</t>
  </si>
  <si>
    <t>African American</t>
  </si>
  <si>
    <t>White</t>
  </si>
  <si>
    <t>Hispanic</t>
  </si>
  <si>
    <t>Two or more races</t>
  </si>
  <si>
    <t>Refused</t>
  </si>
  <si>
    <t>African American or Black</t>
  </si>
  <si>
    <t>Aleutian, Eskimo, or American Indian</t>
  </si>
  <si>
    <t>Hispanic or Latino</t>
  </si>
  <si>
    <t>White or Caucasian</t>
  </si>
  <si>
    <t>Education</t>
  </si>
  <si>
    <t>Some high school</t>
  </si>
  <si>
    <t xml:space="preserve">Graduated high school </t>
  </si>
  <si>
    <t>Some college</t>
  </si>
  <si>
    <t>Graduated college</t>
  </si>
  <si>
    <t>Post-graduate work</t>
  </si>
  <si>
    <t>Graduated high school</t>
  </si>
  <si>
    <t>Have Anyone Under the Age of 18 Living In Home</t>
  </si>
  <si>
    <t>Years Lived In Residence</t>
  </si>
  <si>
    <t>Less than 1 year</t>
  </si>
  <si>
    <t>1 to 2 years</t>
  </si>
  <si>
    <t>3 to 5 years</t>
  </si>
  <si>
    <t>6 to 10 years</t>
  </si>
  <si>
    <t>11 to 15 years</t>
  </si>
  <si>
    <t>16 to 20 years</t>
  </si>
  <si>
    <t>More than 20 years</t>
  </si>
  <si>
    <t>Years Lived In Austin</t>
  </si>
  <si>
    <t>1 to 5 years</t>
  </si>
  <si>
    <t>21 to 30 years</t>
  </si>
  <si>
    <t>31 to 40 years</t>
  </si>
  <si>
    <t>41 to 50 years</t>
  </si>
  <si>
    <t>More than 50 years</t>
  </si>
  <si>
    <t>Physical Health Not Good In the Past 30 Days</t>
  </si>
  <si>
    <t>0 times</t>
  </si>
  <si>
    <t>1 time</t>
  </si>
  <si>
    <t>2 times</t>
  </si>
  <si>
    <t>3 times</t>
  </si>
  <si>
    <t>4 times</t>
  </si>
  <si>
    <t>5 times</t>
  </si>
  <si>
    <t>7 times</t>
  </si>
  <si>
    <t>10 times</t>
  </si>
  <si>
    <t>14 times</t>
  </si>
  <si>
    <t>15 times</t>
  </si>
  <si>
    <t>20 times</t>
  </si>
  <si>
    <t>25 times</t>
  </si>
  <si>
    <t>30 times</t>
  </si>
  <si>
    <t>0</t>
  </si>
  <si>
    <t>1</t>
  </si>
  <si>
    <t>2</t>
  </si>
  <si>
    <t>4</t>
  </si>
  <si>
    <t>20</t>
  </si>
  <si>
    <t>Mental Health Not Good In the Past 30 Days</t>
  </si>
  <si>
    <t>3</t>
  </si>
  <si>
    <t>15</t>
  </si>
  <si>
    <t>30</t>
  </si>
  <si>
    <t>D8 - D8. In general, which of the following describes your health?</t>
  </si>
  <si>
    <t>Q14_r1 - 14. I’m now going to read a list of items that may or may not have changed since your energy improvements were complete. Dust in home</t>
  </si>
  <si>
    <t>Q14_r2 - 14. I’m now going to read a list of items that may or may not have changed since your energy improvements were complete. Musty/moldy smell in home</t>
  </si>
  <si>
    <t>Q4 2024
(N=33)</t>
  </si>
  <si>
    <t>Q4 2024</t>
  </si>
  <si>
    <t>Because of the moisture for one. For a long time it was very humid. I feel like it didn't really change anything.</t>
  </si>
  <si>
    <t>I don't think I got enough benefit out of it. I know it doesn't cost anything but I don't think it really helped at all.</t>
  </si>
  <si>
    <t>It took a really long time. I don't think they accomplished anything. It was just awful.</t>
  </si>
  <si>
    <t>Q25_1 - 25. How could Austin Energy improve its weatherization program?</t>
  </si>
  <si>
    <t>Have more repair options</t>
  </si>
  <si>
    <t>More communication, more explanation</t>
  </si>
  <si>
    <t>Q25_2 -25. How could Austin Energy improve its weatherization program?</t>
  </si>
  <si>
    <t>Better planning, improve budgeting</t>
  </si>
  <si>
    <t>Complete work correctly, properly</t>
  </si>
  <si>
    <t>Q6_1 - 6. What could the contractor have done to improve the follow up to our concerns regarding the work done on your home?</t>
  </si>
  <si>
    <t>Improve, increase communication</t>
  </si>
  <si>
    <t>Q4 2024 
(N=33)</t>
  </si>
  <si>
    <t>Bigger rebates, more rebates</t>
  </si>
  <si>
    <t>Increase energy savings, lower bill</t>
  </si>
  <si>
    <t>Utility Contact Center</t>
  </si>
  <si>
    <t xml:space="preserve"> Other Mention</t>
  </si>
  <si>
    <t>I can't remember how I described it to other people</t>
  </si>
  <si>
    <t>No, I think that says it</t>
  </si>
  <si>
    <t>A pain in the butt. there was an issue with my water heater getting tagged after they did the work. whatever they did caused the gas company to shut off my gas. They were difficult to acknowledge that.</t>
  </si>
  <si>
    <t>Austin weatherization program to qualifying customers.</t>
  </si>
  <si>
    <t>Efficiency.</t>
  </si>
  <si>
    <t>Enviornmentally Friendly.</t>
  </si>
  <si>
    <t>Equitable Weatherization.</t>
  </si>
  <si>
    <t>Exceptional.</t>
  </si>
  <si>
    <t>Extremely helpful.</t>
  </si>
  <si>
    <t>Homeowner program.</t>
  </si>
  <si>
    <t>I already got three people signed up by telling them what I had done.</t>
  </si>
  <si>
    <t>I can't think of any.</t>
  </si>
  <si>
    <t>I can't think of anything.</t>
  </si>
  <si>
    <t>I don't know.</t>
  </si>
  <si>
    <t>I think it's wonderful</t>
  </si>
  <si>
    <t>no</t>
  </si>
  <si>
    <t>No those pretty much cut it.</t>
  </si>
  <si>
    <t>No, I think it's pretty clear.</t>
  </si>
  <si>
    <t>No.</t>
  </si>
  <si>
    <t>No. It's something everybody needs to try.</t>
  </si>
  <si>
    <t>None I can think of.</t>
  </si>
  <si>
    <t>Not that I can think of right now.</t>
  </si>
  <si>
    <t>Nothing comes to mind</t>
  </si>
  <si>
    <t>Older home weatherization</t>
  </si>
  <si>
    <t>The title now is great. Austin Energy Efficiency Program.</t>
  </si>
  <si>
    <t>The way it was worded was Low to moderate income individuals.</t>
  </si>
  <si>
    <t>Very good program that many should take advantage of if eligible.</t>
  </si>
  <si>
    <t>Austin weatherization program to qualifying customers</t>
  </si>
  <si>
    <t>Efficiency</t>
  </si>
  <si>
    <t>Enviornmentally Friendly</t>
  </si>
  <si>
    <t>Equitable Weatherization</t>
  </si>
  <si>
    <t>Exceptional</t>
  </si>
  <si>
    <t>Extremely helpful</t>
  </si>
  <si>
    <t>Homeowner program</t>
  </si>
  <si>
    <t>I already got three people signed up by telling them what I had done</t>
  </si>
  <si>
    <t>I can't think of any</t>
  </si>
  <si>
    <t>I can't think of anything</t>
  </si>
  <si>
    <t>I don't know</t>
  </si>
  <si>
    <t>x</t>
  </si>
  <si>
    <t>Asian or Pacific Islander</t>
  </si>
  <si>
    <t>DK/unsure</t>
  </si>
  <si>
    <t>6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</si>
</sst>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7" x14ac:knownFonts="1">
    <font>
      <sz val="12"/>
      <color theme="1"/>
      <name val="Calibri"/>
      <family val="2"/>
      <scheme val="minor"/>
    </font>
    <font>
      <sz val="12"/>
      <color theme="1"/>
      <name val="Calibri"/>
      <family val="2"/>
      <scheme val="minor"/>
    </font>
    <font>
      <b/>
      <sz val="13"/>
      <color rgb="FFFFFFFF"/>
      <name val="Tahoma"/>
      <family val="2"/>
    </font>
    <font>
      <sz val="13"/>
      <color rgb="FF000000"/>
      <name val="Tahoma"/>
      <family val="2"/>
    </font>
    <font>
      <b/>
      <sz val="12"/>
      <color rgb="FFFFFFFF"/>
      <name val="Tahoma"/>
      <family val="2"/>
    </font>
    <font>
      <sz val="12"/>
      <color rgb="FF000000"/>
      <name val="Tahoma"/>
      <family val="2"/>
    </font>
    <font>
      <sz val="18"/>
      <color rgb="FF000000"/>
      <name val="Arial"/>
      <family val="2"/>
    </font>
    <font>
      <sz val="11"/>
      <color theme="1"/>
      <name val="Calibri"/>
      <family val="2"/>
      <scheme val="minor"/>
    </font>
    <font>
      <sz val="12"/>
      <color rgb="FF264A60"/>
      <name val="Arial"/>
      <family val="2"/>
    </font>
    <font>
      <sz val="12"/>
      <color rgb="FF010205"/>
      <name val="Arial"/>
      <family val="2"/>
    </font>
    <font>
      <sz val="11"/>
      <color rgb="FF000000"/>
      <name val="Calibri"/>
      <family val="2"/>
      <scheme val="minor"/>
    </font>
    <font>
      <sz val="13"/>
      <color rgb="FF000000"/>
      <name val="Arial"/>
      <family val="2"/>
    </font>
    <font>
      <sz val="8"/>
      <name val="Calibri"/>
      <family val="2"/>
      <scheme val="minor"/>
    </font>
    <font>
      <sz val="13"/>
      <color rgb="FF010205"/>
      <name val="Tahoma"/>
      <family val="2"/>
    </font>
    <font>
      <sz val="12"/>
      <color theme="1"/>
      <name val="Arial"/>
      <family val="2"/>
    </font>
    <font>
      <b/>
      <sz val="13"/>
      <color theme="1"/>
      <name val="Tahoma"/>
      <family val="2"/>
    </font>
    <font>
      <sz val="13"/>
      <color theme="1"/>
      <name val="Tahoma"/>
      <family val="2"/>
    </font>
  </fonts>
  <fills count="12">
    <fill>
      <patternFill patternType="none"/>
    </fill>
    <fill>
      <patternFill patternType="gray125"/>
    </fill>
    <fill>
      <patternFill patternType="solid">
        <fgColor rgb="FF0F6FC6"/>
        <bgColor indexed="64"/>
      </patternFill>
    </fill>
    <fill>
      <patternFill patternType="solid">
        <fgColor rgb="FFDCE6F1"/>
        <bgColor indexed="64"/>
      </patternFill>
    </fill>
    <fill>
      <patternFill patternType="solid">
        <fgColor rgb="FF4F81BD"/>
        <bgColor indexed="64"/>
      </patternFill>
    </fill>
    <fill>
      <patternFill patternType="solid">
        <fgColor rgb="FFE0E0E0"/>
      </patternFill>
    </fill>
    <fill>
      <patternFill patternType="solid">
        <fgColor rgb="FFF9F9FB"/>
      </patternFill>
    </fill>
    <fill>
      <patternFill patternType="solid">
        <fgColor rgb="FFDDE7F2"/>
        <bgColor indexed="64"/>
      </patternFill>
    </fill>
    <fill>
      <patternFill patternType="solid">
        <fgColor rgb="FF0F6FC6"/>
        <bgColor rgb="FF000000"/>
      </patternFill>
    </fill>
    <fill>
      <patternFill patternType="solid">
        <fgColor rgb="FFDCE6F1"/>
        <bgColor rgb="FF000000"/>
      </patternFill>
    </fill>
    <fill>
      <patternFill patternType="solid">
        <fgColor rgb="FF4F81BD"/>
        <bgColor rgb="FF000000"/>
      </patternFill>
    </fill>
    <fill>
      <patternFill patternType="solid">
        <fgColor rgb="FFDEE8F3"/>
        <bgColor indexed="64"/>
      </patternFill>
    </fill>
  </fills>
  <borders count="18">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rgb="FFAEAEAE"/>
      </top>
      <bottom style="thin">
        <color rgb="FFAEAEAE"/>
      </bottom>
      <diagonal/>
    </border>
    <border>
      <left/>
      <right style="thin">
        <color rgb="FFE0E0E0"/>
      </right>
      <top style="thin">
        <color rgb="FFAEAEAE"/>
      </top>
      <bottom style="thin">
        <color rgb="FFAEAEAE"/>
      </bottom>
      <diagonal/>
    </border>
    <border>
      <left/>
      <right style="thin">
        <color rgb="FFE0E0E0"/>
      </right>
      <top style="thin">
        <color rgb="FF152935"/>
      </top>
      <bottom style="thin">
        <color rgb="FFAEAEAE"/>
      </bottom>
      <diagonal/>
    </border>
    <border>
      <left/>
      <right/>
      <top style="thin">
        <color rgb="FF152935"/>
      </top>
      <bottom style="thin">
        <color rgb="FFAEAEAE"/>
      </bottom>
      <diagonal/>
    </border>
    <border>
      <left style="thin">
        <color rgb="FFE0E0E0"/>
      </left>
      <right style="thin">
        <color rgb="FFE0E0E0"/>
      </right>
      <top style="thin">
        <color rgb="FFAEAEAE"/>
      </top>
      <bottom style="thin">
        <color rgb="FFAEAEAE"/>
      </bottom>
      <diagonal/>
    </border>
    <border>
      <left style="medium">
        <color rgb="FFFFFFFF"/>
      </left>
      <right style="medium">
        <color rgb="FFFFFFFF"/>
      </right>
      <top style="medium">
        <color rgb="FFFFFFFF"/>
      </top>
      <bottom/>
      <diagonal/>
    </border>
    <border>
      <left style="thin">
        <color rgb="FFE0E0E0"/>
      </left>
      <right style="thin">
        <color rgb="FFE0E0E0"/>
      </right>
      <top style="thin">
        <color rgb="FF152935"/>
      </top>
      <bottom style="thin">
        <color rgb="FFAEAEAE"/>
      </bottom>
      <diagonal/>
    </border>
    <border>
      <left style="medium">
        <color rgb="FFFFFFFF"/>
      </left>
      <right style="medium">
        <color rgb="FFFFFFFF"/>
      </right>
      <top/>
      <bottom style="medium">
        <color rgb="FFFFFFFF"/>
      </bottom>
      <diagonal/>
    </border>
    <border>
      <left style="medium">
        <color rgb="FFFFFFFF"/>
      </left>
      <right style="medium">
        <color rgb="FFFFFFFF"/>
      </right>
      <top style="thick">
        <color rgb="FFFFFFFF"/>
      </top>
      <bottom style="thick">
        <color rgb="FFFFFFFF"/>
      </bottom>
      <diagonal/>
    </border>
    <border>
      <left style="medium">
        <color rgb="FFFFFFFF"/>
      </left>
      <right style="medium">
        <color rgb="FFFFFFFF"/>
      </right>
      <top/>
      <bottom style="thick">
        <color rgb="FFFFFFFF"/>
      </bottom>
      <diagonal/>
    </border>
    <border>
      <left/>
      <right style="medium">
        <color rgb="FFFFFFFF"/>
      </right>
      <top style="medium">
        <color rgb="FFFFFFFF"/>
      </top>
      <bottom style="thick">
        <color rgb="FFFFFFFF"/>
      </bottom>
      <diagonal/>
    </border>
    <border>
      <left/>
      <right style="medium">
        <color rgb="FFFFFFFF"/>
      </right>
      <top/>
      <bottom style="medium">
        <color rgb="FFFFFFFF"/>
      </bottom>
      <diagonal/>
    </border>
    <border>
      <left/>
      <right style="medium">
        <color rgb="FFFFFFFF"/>
      </right>
      <top/>
      <bottom style="thick">
        <color rgb="FFFFFFFF"/>
      </bottom>
      <diagonal/>
    </border>
    <border>
      <left style="medium">
        <color rgb="FFFFFFFF"/>
      </left>
      <right style="medium">
        <color rgb="FFFFFFFF"/>
      </right>
      <top/>
      <bottom/>
      <diagonal/>
    </border>
  </borders>
  <cellStyleXfs count="82">
    <xf numFmtId="0" fontId="0" fillId="0" borderId="0"/>
    <xf numFmtId="9" fontId="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cellStyleXfs>
  <cellXfs count="133">
    <xf numFmtId="0" fontId="0" fillId="0" borderId="0" xfId="0"/>
    <xf numFmtId="0" fontId="2" fillId="2" borderId="1" xfId="0" applyFont="1" applyFill="1" applyBorder="1" applyAlignment="1">
      <alignment horizontal="left" wrapText="1" readingOrder="1"/>
    </xf>
    <xf numFmtId="0" fontId="2" fillId="2" borderId="1" xfId="0" applyFont="1" applyFill="1" applyBorder="1" applyAlignment="1">
      <alignment horizontal="center" vertical="center" wrapText="1" readingOrder="1"/>
    </xf>
    <xf numFmtId="0" fontId="3" fillId="3" borderId="2" xfId="0" applyFont="1" applyFill="1" applyBorder="1" applyAlignment="1">
      <alignment horizontal="left" vertical="center" wrapText="1" readingOrder="1"/>
    </xf>
    <xf numFmtId="0" fontId="3" fillId="3" borderId="2" xfId="0" applyFont="1" applyFill="1" applyBorder="1" applyAlignment="1">
      <alignment horizontal="center" vertical="center" wrapText="1" readingOrder="1"/>
    </xf>
    <xf numFmtId="0" fontId="3" fillId="3" borderId="3" xfId="0" applyFont="1" applyFill="1" applyBorder="1" applyAlignment="1">
      <alignment horizontal="left" vertical="center" wrapText="1" readingOrder="1"/>
    </xf>
    <xf numFmtId="0" fontId="3" fillId="3" borderId="3" xfId="0" applyFont="1" applyFill="1" applyBorder="1" applyAlignment="1">
      <alignment horizontal="center" vertical="center" wrapText="1" readingOrder="1"/>
    </xf>
    <xf numFmtId="0" fontId="3" fillId="3" borderId="1" xfId="0" applyFont="1" applyFill="1" applyBorder="1" applyAlignment="1">
      <alignment horizontal="left" vertical="center" wrapText="1" readingOrder="1"/>
    </xf>
    <xf numFmtId="0" fontId="3" fillId="3" borderId="1" xfId="0" applyFont="1" applyFill="1" applyBorder="1" applyAlignment="1">
      <alignment horizontal="center" vertical="center" wrapText="1" readingOrder="1"/>
    </xf>
    <xf numFmtId="0" fontId="2" fillId="4" borderId="2" xfId="0" applyFont="1" applyFill="1" applyBorder="1" applyAlignment="1">
      <alignment horizontal="left" vertical="center" wrapText="1" readingOrder="1"/>
    </xf>
    <xf numFmtId="0" fontId="2" fillId="4" borderId="2" xfId="0" applyFont="1" applyFill="1" applyBorder="1" applyAlignment="1">
      <alignment horizontal="center" vertical="center" wrapText="1" readingOrder="1"/>
    </xf>
    <xf numFmtId="0" fontId="4" fillId="4" borderId="1" xfId="0" applyFont="1" applyFill="1" applyBorder="1" applyAlignment="1">
      <alignment horizontal="center" vertical="center" wrapText="1" readingOrder="1"/>
    </xf>
    <xf numFmtId="0" fontId="5" fillId="3" borderId="3" xfId="0" applyFont="1" applyFill="1" applyBorder="1" applyAlignment="1">
      <alignment horizontal="left" vertical="center" wrapText="1" readingOrder="1"/>
    </xf>
    <xf numFmtId="0" fontId="4" fillId="4" borderId="2" xfId="0" applyFont="1" applyFill="1" applyBorder="1" applyAlignment="1">
      <alignment horizontal="left" vertical="center" wrapText="1" readingOrder="1"/>
    </xf>
    <xf numFmtId="0" fontId="4" fillId="4" borderId="2" xfId="0" applyFont="1" applyFill="1" applyBorder="1" applyAlignment="1">
      <alignment horizontal="center" vertical="center" wrapText="1" readingOrder="1"/>
    </xf>
    <xf numFmtId="0" fontId="2" fillId="4" borderId="1" xfId="0" applyFont="1" applyFill="1" applyBorder="1" applyAlignment="1">
      <alignment horizontal="left" wrapText="1" readingOrder="1"/>
    </xf>
    <xf numFmtId="0" fontId="2" fillId="4" borderId="1" xfId="0" applyFont="1" applyFill="1" applyBorder="1" applyAlignment="1">
      <alignment horizontal="center" vertical="center" wrapText="1" readingOrder="1"/>
    </xf>
    <xf numFmtId="0" fontId="0" fillId="0" borderId="0" xfId="0" applyAlignment="1">
      <alignment wrapText="1"/>
    </xf>
    <xf numFmtId="9" fontId="0" fillId="0" borderId="0" xfId="0" applyNumberFormat="1"/>
    <xf numFmtId="9" fontId="0" fillId="0" borderId="0" xfId="1" applyFont="1"/>
    <xf numFmtId="0" fontId="8" fillId="5" borderId="4" xfId="2" applyFont="1" applyFill="1" applyBorder="1" applyAlignment="1">
      <alignment horizontal="left" vertical="top" wrapText="1"/>
    </xf>
    <xf numFmtId="164" fontId="9" fillId="6" borderId="5" xfId="3" applyNumberFormat="1" applyFont="1" applyFill="1" applyBorder="1" applyAlignment="1">
      <alignment horizontal="right" vertical="top"/>
    </xf>
    <xf numFmtId="164" fontId="9" fillId="6" borderId="6" xfId="4" applyNumberFormat="1" applyFont="1" applyFill="1" applyBorder="1" applyAlignment="1">
      <alignment horizontal="right" vertical="top"/>
    </xf>
    <xf numFmtId="0" fontId="8" fillId="5" borderId="7" xfId="7" applyFont="1" applyFill="1" applyBorder="1" applyAlignment="1">
      <alignment horizontal="left" vertical="top" wrapText="1"/>
    </xf>
    <xf numFmtId="0" fontId="10" fillId="0" borderId="0" xfId="0" applyFont="1"/>
    <xf numFmtId="0" fontId="10" fillId="0" borderId="0" xfId="0" applyFont="1" applyAlignment="1">
      <alignment wrapText="1"/>
    </xf>
    <xf numFmtId="9" fontId="10" fillId="0" borderId="0" xfId="0" applyNumberFormat="1" applyFont="1"/>
    <xf numFmtId="165" fontId="9" fillId="6" borderId="8" xfId="8" applyNumberFormat="1" applyFont="1" applyFill="1" applyBorder="1" applyAlignment="1">
      <alignment horizontal="right" vertical="top"/>
    </xf>
    <xf numFmtId="0" fontId="2" fillId="4" borderId="1" xfId="0" applyFont="1" applyFill="1" applyBorder="1" applyAlignment="1">
      <alignment horizontal="center" wrapText="1" readingOrder="1"/>
    </xf>
    <xf numFmtId="0" fontId="8" fillId="5" borderId="0" xfId="2" applyFont="1" applyFill="1" applyAlignment="1">
      <alignment horizontal="left" vertical="top" wrapText="1"/>
    </xf>
    <xf numFmtId="0" fontId="0" fillId="0" borderId="4" xfId="0" applyBorder="1"/>
    <xf numFmtId="0" fontId="0" fillId="0" borderId="0" xfId="0" applyAlignment="1">
      <alignment horizontal="right"/>
    </xf>
    <xf numFmtId="0" fontId="0" fillId="0" borderId="0" xfId="0" applyAlignment="1">
      <alignment horizontal="right" wrapText="1"/>
    </xf>
    <xf numFmtId="9" fontId="0" fillId="0" borderId="0" xfId="1" applyFont="1" applyAlignment="1">
      <alignment wrapText="1"/>
    </xf>
    <xf numFmtId="0" fontId="3" fillId="3" borderId="2" xfId="0" applyFont="1" applyFill="1" applyBorder="1" applyAlignment="1">
      <alignment horizontal="center" wrapText="1" readingOrder="1"/>
    </xf>
    <xf numFmtId="0" fontId="3" fillId="3" borderId="3" xfId="0" applyFont="1" applyFill="1" applyBorder="1" applyAlignment="1">
      <alignment horizontal="center" wrapText="1" readingOrder="1"/>
    </xf>
    <xf numFmtId="0" fontId="11" fillId="3" borderId="3" xfId="0" applyFont="1" applyFill="1" applyBorder="1" applyAlignment="1">
      <alignment horizontal="center" vertical="center" wrapText="1" readingOrder="1"/>
    </xf>
    <xf numFmtId="0" fontId="3" fillId="7" borderId="3" xfId="0" applyFont="1" applyFill="1" applyBorder="1" applyAlignment="1">
      <alignment horizontal="center" vertical="top" wrapText="1" readingOrder="1"/>
    </xf>
    <xf numFmtId="0" fontId="3" fillId="3" borderId="3" xfId="0" applyFont="1" applyFill="1" applyBorder="1" applyAlignment="1">
      <alignment horizontal="left" vertical="top" wrapText="1" readingOrder="1"/>
    </xf>
    <xf numFmtId="0" fontId="3" fillId="3" borderId="3" xfId="0" applyFont="1" applyFill="1" applyBorder="1" applyAlignment="1">
      <alignment horizontal="center" vertical="top" wrapText="1" readingOrder="1"/>
    </xf>
    <xf numFmtId="0" fontId="3" fillId="7" borderId="3" xfId="0" applyFont="1" applyFill="1" applyBorder="1" applyAlignment="1">
      <alignment horizontal="left" vertical="center" wrapText="1" readingOrder="1"/>
    </xf>
    <xf numFmtId="9" fontId="5" fillId="3" borderId="3" xfId="0" applyNumberFormat="1" applyFont="1" applyFill="1" applyBorder="1" applyAlignment="1">
      <alignment horizontal="center" vertical="center" wrapText="1" readingOrder="1"/>
    </xf>
    <xf numFmtId="0" fontId="3" fillId="3" borderId="2" xfId="0" applyFont="1" applyFill="1" applyBorder="1" applyAlignment="1">
      <alignment horizontal="left" wrapText="1" readingOrder="1"/>
    </xf>
    <xf numFmtId="0" fontId="3" fillId="3" borderId="3" xfId="0" applyFont="1" applyFill="1" applyBorder="1" applyAlignment="1">
      <alignment horizontal="left" wrapText="1" readingOrder="1"/>
    </xf>
    <xf numFmtId="0" fontId="3" fillId="3" borderId="1" xfId="0" applyFont="1" applyFill="1" applyBorder="1" applyAlignment="1">
      <alignment horizontal="left" wrapText="1" readingOrder="1"/>
    </xf>
    <xf numFmtId="0" fontId="3" fillId="3" borderId="1" xfId="0" applyFont="1" applyFill="1" applyBorder="1" applyAlignment="1">
      <alignment horizontal="center" wrapText="1" readingOrder="1"/>
    </xf>
    <xf numFmtId="0" fontId="2" fillId="4" borderId="2" xfId="0" applyFont="1" applyFill="1" applyBorder="1" applyAlignment="1">
      <alignment horizontal="left" wrapText="1" readingOrder="1"/>
    </xf>
    <xf numFmtId="0" fontId="2" fillId="4" borderId="2" xfId="0" applyFont="1" applyFill="1" applyBorder="1" applyAlignment="1">
      <alignment horizontal="center" wrapText="1" readingOrder="1"/>
    </xf>
    <xf numFmtId="0" fontId="3" fillId="3" borderId="9" xfId="0" applyFont="1" applyFill="1" applyBorder="1" applyAlignment="1">
      <alignment horizontal="left" wrapText="1" readingOrder="1"/>
    </xf>
    <xf numFmtId="0" fontId="3" fillId="3" borderId="9" xfId="0" applyFont="1" applyFill="1" applyBorder="1" applyAlignment="1">
      <alignment horizontal="center" wrapText="1" readingOrder="1"/>
    </xf>
    <xf numFmtId="0" fontId="3" fillId="3" borderId="11" xfId="0" applyFont="1" applyFill="1" applyBorder="1" applyAlignment="1">
      <alignment horizontal="left" wrapText="1" readingOrder="1"/>
    </xf>
    <xf numFmtId="0" fontId="3" fillId="3" borderId="11" xfId="0" applyFont="1" applyFill="1" applyBorder="1" applyAlignment="1">
      <alignment horizontal="center" wrapText="1" readingOrder="1"/>
    </xf>
    <xf numFmtId="0" fontId="10" fillId="0" borderId="0" xfId="0" applyFont="1" applyAlignment="1">
      <alignment horizontal="right"/>
    </xf>
    <xf numFmtId="0" fontId="10" fillId="0" borderId="0" xfId="0" applyFont="1" applyAlignment="1">
      <alignment horizontal="right" wrapText="1"/>
    </xf>
    <xf numFmtId="0" fontId="6" fillId="4" borderId="1" xfId="0" applyFont="1" applyFill="1" applyBorder="1" applyAlignment="1">
      <alignment horizontal="left" vertical="center" wrapText="1" readingOrder="1"/>
    </xf>
    <xf numFmtId="0" fontId="3" fillId="7" borderId="3" xfId="0" applyFont="1" applyFill="1" applyBorder="1" applyAlignment="1">
      <alignment horizontal="center" wrapText="1" readingOrder="1"/>
    </xf>
    <xf numFmtId="0" fontId="13" fillId="3" borderId="2" xfId="0" applyFont="1" applyFill="1" applyBorder="1" applyAlignment="1">
      <alignment horizontal="center" vertical="top" wrapText="1" readingOrder="1"/>
    </xf>
    <xf numFmtId="0" fontId="13" fillId="3" borderId="3" xfId="0" applyFont="1" applyFill="1" applyBorder="1" applyAlignment="1">
      <alignment horizontal="center" vertical="top" wrapText="1" readingOrder="1"/>
    </xf>
    <xf numFmtId="165" fontId="9" fillId="6" borderId="10" xfId="47" applyNumberFormat="1" applyFont="1" applyFill="1" applyBorder="1" applyAlignment="1">
      <alignment horizontal="right" vertical="top"/>
    </xf>
    <xf numFmtId="165" fontId="9" fillId="6" borderId="8" xfId="48" applyNumberFormat="1" applyFont="1" applyFill="1" applyBorder="1" applyAlignment="1">
      <alignment horizontal="right" vertical="top"/>
    </xf>
    <xf numFmtId="0" fontId="3" fillId="7" borderId="1" xfId="0" applyFont="1" applyFill="1" applyBorder="1" applyAlignment="1">
      <alignment horizontal="center" vertical="top" wrapText="1" readingOrder="1"/>
    </xf>
    <xf numFmtId="0" fontId="3" fillId="3" borderId="2" xfId="0" applyFont="1" applyFill="1" applyBorder="1" applyAlignment="1">
      <alignment horizontal="center" vertical="top" wrapText="1" readingOrder="1"/>
    </xf>
    <xf numFmtId="9" fontId="7" fillId="0" borderId="0" xfId="1" applyFont="1"/>
    <xf numFmtId="165" fontId="9" fillId="6" borderId="8" xfId="49" applyNumberFormat="1" applyFont="1" applyFill="1" applyBorder="1" applyAlignment="1">
      <alignment horizontal="right" vertical="top"/>
    </xf>
    <xf numFmtId="0" fontId="5" fillId="7" borderId="3" xfId="0" applyFont="1" applyFill="1" applyBorder="1" applyAlignment="1">
      <alignment horizontal="left" vertical="center" wrapText="1" readingOrder="1"/>
    </xf>
    <xf numFmtId="9" fontId="5" fillId="7" borderId="3" xfId="0" applyNumberFormat="1" applyFont="1" applyFill="1" applyBorder="1" applyAlignment="1">
      <alignment horizontal="center" vertical="center" wrapText="1" readingOrder="1"/>
    </xf>
    <xf numFmtId="9" fontId="5" fillId="7" borderId="3" xfId="0" applyNumberFormat="1" applyFont="1" applyFill="1" applyBorder="1" applyAlignment="1">
      <alignment horizontal="center" wrapText="1" readingOrder="1"/>
    </xf>
    <xf numFmtId="9" fontId="5" fillId="3" borderId="3" xfId="0" applyNumberFormat="1" applyFont="1" applyFill="1" applyBorder="1" applyAlignment="1">
      <alignment horizontal="center" wrapText="1" readingOrder="1"/>
    </xf>
    <xf numFmtId="0" fontId="5" fillId="3" borderId="1" xfId="0" applyFont="1" applyFill="1" applyBorder="1" applyAlignment="1">
      <alignment horizontal="left" wrapText="1" readingOrder="1"/>
    </xf>
    <xf numFmtId="9" fontId="5" fillId="3" borderId="1" xfId="0" applyNumberFormat="1" applyFont="1" applyFill="1" applyBorder="1" applyAlignment="1">
      <alignment horizontal="center" vertical="center" wrapText="1" readingOrder="1"/>
    </xf>
    <xf numFmtId="0" fontId="5" fillId="3" borderId="2" xfId="0" applyFont="1" applyFill="1" applyBorder="1" applyAlignment="1">
      <alignment horizontal="left" vertical="center" wrapText="1" readingOrder="1"/>
    </xf>
    <xf numFmtId="0" fontId="5" fillId="3" borderId="1" xfId="0" applyFont="1" applyFill="1" applyBorder="1" applyAlignment="1">
      <alignment horizontal="left" vertical="center" wrapText="1" readingOrder="1"/>
    </xf>
    <xf numFmtId="9" fontId="5" fillId="3" borderId="2" xfId="0" applyNumberFormat="1" applyFont="1" applyFill="1" applyBorder="1" applyAlignment="1">
      <alignment horizontal="center" vertical="center" wrapText="1" readingOrder="1"/>
    </xf>
    <xf numFmtId="9" fontId="5" fillId="3" borderId="2" xfId="0" applyNumberFormat="1" applyFont="1" applyFill="1" applyBorder="1" applyAlignment="1">
      <alignment horizontal="center" wrapText="1" readingOrder="1"/>
    </xf>
    <xf numFmtId="9" fontId="5" fillId="3" borderId="1" xfId="0" applyNumberFormat="1" applyFont="1" applyFill="1" applyBorder="1" applyAlignment="1">
      <alignment horizontal="center" wrapText="1" readingOrder="1"/>
    </xf>
    <xf numFmtId="0" fontId="8" fillId="5" borderId="7" xfId="50" applyFont="1" applyFill="1" applyBorder="1" applyAlignment="1">
      <alignment horizontal="left" vertical="top" wrapText="1"/>
    </xf>
    <xf numFmtId="164" fontId="9" fillId="6" borderId="6" xfId="51" applyNumberFormat="1" applyFont="1" applyFill="1" applyBorder="1" applyAlignment="1">
      <alignment horizontal="right" vertical="top"/>
    </xf>
    <xf numFmtId="165" fontId="9" fillId="6" borderId="10" xfId="52" applyNumberFormat="1" applyFont="1" applyFill="1" applyBorder="1" applyAlignment="1">
      <alignment horizontal="right" vertical="top"/>
    </xf>
    <xf numFmtId="0" fontId="8" fillId="5" borderId="4" xfId="53" applyFont="1" applyFill="1" applyBorder="1" applyAlignment="1">
      <alignment horizontal="left" vertical="top" wrapText="1"/>
    </xf>
    <xf numFmtId="164" fontId="9" fillId="6" borderId="5" xfId="54" applyNumberFormat="1" applyFont="1" applyFill="1" applyBorder="1" applyAlignment="1">
      <alignment horizontal="right" vertical="top"/>
    </xf>
    <xf numFmtId="164" fontId="9" fillId="6" borderId="6" xfId="57" applyNumberFormat="1" applyFont="1" applyFill="1" applyBorder="1" applyAlignment="1">
      <alignment horizontal="right" vertical="top"/>
    </xf>
    <xf numFmtId="164" fontId="9" fillId="6" borderId="5" xfId="58" applyNumberFormat="1" applyFont="1" applyFill="1" applyBorder="1" applyAlignment="1">
      <alignment horizontal="right" vertical="top"/>
    </xf>
    <xf numFmtId="165" fontId="9" fillId="6" borderId="8" xfId="59" applyNumberFormat="1" applyFont="1" applyFill="1" applyBorder="1" applyAlignment="1">
      <alignment horizontal="right" vertical="top"/>
    </xf>
    <xf numFmtId="0" fontId="14" fillId="5" borderId="4" xfId="60" applyFont="1" applyFill="1" applyBorder="1" applyAlignment="1">
      <alignment horizontal="left" vertical="top" wrapText="1"/>
    </xf>
    <xf numFmtId="0" fontId="15" fillId="7" borderId="13" xfId="0" applyFont="1" applyFill="1" applyBorder="1" applyAlignment="1">
      <alignment horizontal="center" vertical="center" wrapText="1" readingOrder="1"/>
    </xf>
    <xf numFmtId="0" fontId="16" fillId="3" borderId="12" xfId="0" applyFont="1" applyFill="1" applyBorder="1" applyAlignment="1">
      <alignment horizontal="center" vertical="center" wrapText="1" readingOrder="1"/>
    </xf>
    <xf numFmtId="0" fontId="2" fillId="8" borderId="1" xfId="0" applyFont="1" applyFill="1" applyBorder="1" applyAlignment="1">
      <alignment horizontal="center" vertical="center" wrapText="1" readingOrder="1"/>
    </xf>
    <xf numFmtId="0" fontId="2" fillId="8" borderId="14" xfId="0" applyFont="1" applyFill="1" applyBorder="1" applyAlignment="1">
      <alignment horizontal="center" vertical="center" wrapText="1" readingOrder="1"/>
    </xf>
    <xf numFmtId="0" fontId="3" fillId="9" borderId="11" xfId="0" applyFont="1" applyFill="1" applyBorder="1" applyAlignment="1">
      <alignment horizontal="center" vertical="center" wrapText="1" readingOrder="1"/>
    </xf>
    <xf numFmtId="0" fontId="3" fillId="9" borderId="15" xfId="0" applyFont="1" applyFill="1" applyBorder="1" applyAlignment="1">
      <alignment horizontal="center" vertical="center" wrapText="1" readingOrder="1"/>
    </xf>
    <xf numFmtId="0" fontId="11" fillId="9" borderId="11" xfId="0" applyFont="1" applyFill="1" applyBorder="1" applyAlignment="1">
      <alignment horizontal="center" vertical="center" wrapText="1" readingOrder="1"/>
    </xf>
    <xf numFmtId="0" fontId="11" fillId="9" borderId="15" xfId="0" applyFont="1" applyFill="1" applyBorder="1" applyAlignment="1">
      <alignment horizontal="center" vertical="center" wrapText="1" readingOrder="1"/>
    </xf>
    <xf numFmtId="0" fontId="3" fillId="9" borderId="13" xfId="0" applyFont="1" applyFill="1" applyBorder="1" applyAlignment="1">
      <alignment horizontal="center" vertical="center" wrapText="1" readingOrder="1"/>
    </xf>
    <xf numFmtId="0" fontId="3" fillId="9" borderId="16" xfId="0" applyFont="1" applyFill="1" applyBorder="1" applyAlignment="1">
      <alignment horizontal="center" vertical="center" wrapText="1" readingOrder="1"/>
    </xf>
    <xf numFmtId="0" fontId="2" fillId="10" borderId="11" xfId="0" applyFont="1" applyFill="1" applyBorder="1" applyAlignment="1">
      <alignment horizontal="center" vertical="center" wrapText="1" readingOrder="1"/>
    </xf>
    <xf numFmtId="0" fontId="2" fillId="10" borderId="15" xfId="0" applyFont="1" applyFill="1" applyBorder="1" applyAlignment="1">
      <alignment horizontal="center" vertical="center" wrapText="1" readingOrder="1"/>
    </xf>
    <xf numFmtId="0" fontId="3" fillId="7" borderId="2" xfId="0" applyFont="1" applyFill="1" applyBorder="1" applyAlignment="1">
      <alignment horizontal="left" vertical="center" wrapText="1" readingOrder="1"/>
    </xf>
    <xf numFmtId="0" fontId="3" fillId="7" borderId="2" xfId="0" applyFont="1" applyFill="1" applyBorder="1" applyAlignment="1">
      <alignment horizontal="center" vertical="center" wrapText="1" readingOrder="1"/>
    </xf>
    <xf numFmtId="9" fontId="10" fillId="0" borderId="0" xfId="0" applyNumberFormat="1" applyFont="1" applyAlignment="1">
      <alignment wrapText="1"/>
    </xf>
    <xf numFmtId="0" fontId="4" fillId="4" borderId="1" xfId="0" applyFont="1" applyFill="1" applyBorder="1" applyAlignment="1">
      <alignment horizontal="left" wrapText="1" readingOrder="1"/>
    </xf>
    <xf numFmtId="0" fontId="3" fillId="7" borderId="2" xfId="0" applyFont="1" applyFill="1" applyBorder="1" applyAlignment="1">
      <alignment horizontal="center" vertical="top" wrapText="1" readingOrder="1"/>
    </xf>
    <xf numFmtId="0" fontId="3" fillId="3" borderId="0" xfId="0" applyFont="1" applyFill="1" applyAlignment="1">
      <alignment horizontal="left" vertical="top" wrapText="1" readingOrder="1"/>
    </xf>
    <xf numFmtId="0" fontId="0" fillId="0" borderId="3" xfId="0" applyBorder="1"/>
    <xf numFmtId="0" fontId="3" fillId="3" borderId="0" xfId="0" applyFont="1" applyFill="1" applyAlignment="1">
      <alignment horizontal="left" vertical="center" wrapText="1" readingOrder="1"/>
    </xf>
    <xf numFmtId="0" fontId="0" fillId="0" borderId="1" xfId="0" applyBorder="1"/>
    <xf numFmtId="0" fontId="0" fillId="0" borderId="2" xfId="0" applyBorder="1"/>
    <xf numFmtId="0" fontId="3" fillId="3" borderId="0" xfId="0" applyFont="1" applyFill="1" applyAlignment="1">
      <alignment horizontal="center" vertical="top" wrapText="1" readingOrder="1"/>
    </xf>
    <xf numFmtId="0" fontId="3" fillId="3" borderId="0" xfId="0" applyFont="1" applyFill="1" applyAlignment="1">
      <alignment horizontal="center" wrapText="1" readingOrder="1"/>
    </xf>
    <xf numFmtId="0" fontId="3" fillId="7" borderId="1" xfId="0" applyFont="1" applyFill="1" applyBorder="1" applyAlignment="1">
      <alignment horizontal="left" vertical="top" wrapText="1" readingOrder="1"/>
    </xf>
    <xf numFmtId="0" fontId="3" fillId="7" borderId="0" xfId="0" applyFont="1" applyFill="1" applyAlignment="1">
      <alignment horizontal="left" vertical="center" wrapText="1" readingOrder="1"/>
    </xf>
    <xf numFmtId="0" fontId="3" fillId="3" borderId="2" xfId="0" applyFont="1" applyFill="1" applyBorder="1" applyAlignment="1">
      <alignment horizontal="left" vertical="top" wrapText="1" readingOrder="1"/>
    </xf>
    <xf numFmtId="0" fontId="3" fillId="7" borderId="0" xfId="0" applyFont="1" applyFill="1" applyAlignment="1">
      <alignment horizontal="center" vertical="top" wrapText="1" readingOrder="1"/>
    </xf>
    <xf numFmtId="0" fontId="3" fillId="3" borderId="9" xfId="0" applyFont="1" applyFill="1" applyBorder="1" applyAlignment="1">
      <alignment horizontal="left" vertical="center" wrapText="1" readingOrder="1"/>
    </xf>
    <xf numFmtId="0" fontId="3" fillId="3" borderId="17" xfId="0" applyFont="1" applyFill="1" applyBorder="1" applyAlignment="1">
      <alignment horizontal="left" vertical="top" wrapText="1" readingOrder="1"/>
    </xf>
    <xf numFmtId="0" fontId="3" fillId="3" borderId="17" xfId="0" applyFont="1" applyFill="1" applyBorder="1" applyAlignment="1">
      <alignment horizontal="center" vertical="top" wrapText="1" readingOrder="1"/>
    </xf>
    <xf numFmtId="0" fontId="3" fillId="11" borderId="3" xfId="0" applyFont="1" applyFill="1" applyBorder="1" applyAlignment="1">
      <alignment horizontal="left" vertical="center" wrapText="1" readingOrder="1"/>
    </xf>
    <xf numFmtId="0" fontId="3" fillId="11" borderId="3" xfId="0" applyFont="1" applyFill="1" applyBorder="1" applyAlignment="1">
      <alignment horizontal="center" vertical="top" wrapText="1" readingOrder="1"/>
    </xf>
    <xf numFmtId="0" fontId="3" fillId="7" borderId="2" xfId="0" applyFont="1" applyFill="1" applyBorder="1" applyAlignment="1">
      <alignment horizontal="center" wrapText="1" readingOrder="1"/>
    </xf>
    <xf numFmtId="0" fontId="3" fillId="11" borderId="3" xfId="0" applyFont="1" applyFill="1" applyBorder="1" applyAlignment="1">
      <alignment horizontal="center" wrapText="1" readingOrder="1"/>
    </xf>
    <xf numFmtId="0" fontId="8" fillId="5" borderId="7" xfId="61" applyFont="1" applyFill="1" applyBorder="1" applyAlignment="1">
      <alignment horizontal="left" vertical="top" wrapText="1"/>
    </xf>
    <xf numFmtId="0" fontId="8" fillId="5" borderId="4" xfId="60" applyFont="1" applyFill="1" applyBorder="1" applyAlignment="1">
      <alignment horizontal="left" vertical="top" wrapText="1"/>
    </xf>
    <xf numFmtId="0" fontId="3" fillId="3" borderId="9" xfId="0" applyFont="1" applyFill="1" applyBorder="1" applyAlignment="1">
      <alignment horizontal="center" vertical="center" wrapText="1" readingOrder="1"/>
    </xf>
    <xf numFmtId="0" fontId="8" fillId="5" borderId="0" xfId="60" applyFont="1" applyFill="1" applyAlignment="1">
      <alignment horizontal="left" vertical="top" wrapText="1"/>
    </xf>
    <xf numFmtId="164" fontId="9" fillId="6" borderId="0" xfId="58" applyNumberFormat="1" applyFont="1" applyFill="1" applyAlignment="1">
      <alignment horizontal="right" vertical="top"/>
    </xf>
    <xf numFmtId="0" fontId="5" fillId="3" borderId="9" xfId="0" applyFont="1" applyFill="1" applyBorder="1" applyAlignment="1">
      <alignment horizontal="left" vertical="center" wrapText="1" readingOrder="1"/>
    </xf>
    <xf numFmtId="9" fontId="5" fillId="3" borderId="9" xfId="0" applyNumberFormat="1" applyFont="1" applyFill="1" applyBorder="1" applyAlignment="1">
      <alignment horizontal="center" vertical="center" wrapText="1" readingOrder="1"/>
    </xf>
    <xf numFmtId="0" fontId="8" fillId="3" borderId="3" xfId="0" applyFont="1" applyFill="1" applyBorder="1" applyAlignment="1">
      <alignment horizontal="left" vertical="top" wrapText="1" readingOrder="1"/>
    </xf>
    <xf numFmtId="0" fontId="5" fillId="3" borderId="3" xfId="0" applyFont="1" applyFill="1" applyBorder="1" applyAlignment="1">
      <alignment horizontal="left" vertical="top" wrapText="1" readingOrder="1"/>
    </xf>
    <xf numFmtId="0" fontId="8" fillId="5" borderId="0" xfId="53" applyFont="1" applyFill="1" applyBorder="1" applyAlignment="1">
      <alignment horizontal="left" vertical="top" wrapText="1"/>
    </xf>
    <xf numFmtId="164" fontId="9" fillId="6" borderId="0" xfId="54" applyNumberFormat="1" applyFont="1" applyFill="1" applyBorder="1" applyAlignment="1">
      <alignment horizontal="right" vertical="top"/>
    </xf>
    <xf numFmtId="165" fontId="9" fillId="6" borderId="0" xfId="49" applyNumberFormat="1" applyFont="1" applyFill="1" applyBorder="1" applyAlignment="1">
      <alignment horizontal="right" vertical="top"/>
    </xf>
    <xf numFmtId="0" fontId="8" fillId="5" borderId="7" xfId="80" applyFont="1" applyFill="1" applyBorder="1" applyAlignment="1">
      <alignment horizontal="left" vertical="top"/>
    </xf>
    <xf numFmtId="0" fontId="8" fillId="5" borderId="4" xfId="81" applyFont="1" applyFill="1" applyBorder="1" applyAlignment="1">
      <alignment horizontal="left" vertical="top"/>
    </xf>
  </cellXfs>
  <cellStyles count="82">
    <cellStyle name="Normal" xfId="0" builtinId="0"/>
    <cellStyle name="Percent" xfId="1" builtinId="5"/>
    <cellStyle name="style1686767965016" xfId="5" xr:uid="{B4D18233-4412-D54C-91FD-5DEC8C0F27C9}"/>
    <cellStyle name="style1686767965192" xfId="6" xr:uid="{641D27DB-9500-9A46-8F66-FE28C905406A}"/>
    <cellStyle name="style1706365766073" xfId="2" xr:uid="{80BB84D0-87E7-ED45-B10F-94F438E133FA}"/>
    <cellStyle name="style1706365766106" xfId="10" xr:uid="{DD7489EA-9143-F844-8BEC-C0B60C64886F}"/>
    <cellStyle name="style1706365766316" xfId="7" xr:uid="{145F6F2A-0A3D-474E-8691-1EBD21651CFB}"/>
    <cellStyle name="style1706365766342" xfId="4" xr:uid="{ACC8E3C8-30BA-7243-BB60-52F5B9384E2F}"/>
    <cellStyle name="style1706365766401" xfId="11" xr:uid="{3182E106-AA67-7649-85E8-2B32D8B39113}"/>
    <cellStyle name="style1706365766477" xfId="9" xr:uid="{9D2E99E5-6CE2-E647-8DF8-FC1E3586AEB4}"/>
    <cellStyle name="style1706365766496" xfId="3" xr:uid="{2A7EA89A-5E3A-2B41-A6E6-EE0353D27AF8}"/>
    <cellStyle name="style1706365766508" xfId="8" xr:uid="{F0E29059-A92E-7747-A6BF-146FFB8DC87E}"/>
    <cellStyle name="style1706365766559" xfId="12" xr:uid="{433B7B30-D562-394A-B644-6C69E3668112}"/>
    <cellStyle name="style1715338612838" xfId="13" xr:uid="{3F866013-BE53-BE42-AE6A-CBCD17C6453B}"/>
    <cellStyle name="style1715338613112" xfId="14" xr:uid="{6F997D7E-06E1-3740-B13A-66109ED88C1B}"/>
    <cellStyle name="style1715338613125" xfId="15" xr:uid="{6DD936E5-27A8-284C-9CBD-ACA879A61FC9}"/>
    <cellStyle name="style1715338613254" xfId="16" xr:uid="{41550F93-51B6-E242-A193-6ED66E4694B0}"/>
    <cellStyle name="style1715338613273" xfId="17" xr:uid="{C9430A78-F66B-354D-B080-8676996E9024}"/>
    <cellStyle name="style1715338613285" xfId="18" xr:uid="{6CBBD8C8-B871-144D-9C83-C352BBC8E7F8}"/>
    <cellStyle name="style1721214882929" xfId="26" xr:uid="{6ED1F06A-A1F4-AA4A-AA29-08EF14F04084}"/>
    <cellStyle name="style1721214882945" xfId="27" xr:uid="{F65607B2-8CF3-0B42-8A46-CF11744BBD17}"/>
    <cellStyle name="style1721214882962" xfId="25" xr:uid="{0276BD68-EC5A-F342-ABB2-FF3589597EE7}"/>
    <cellStyle name="style1721214883010" xfId="35" xr:uid="{44DEDDBE-E282-504A-B30B-E3A99EEC76B1}"/>
    <cellStyle name="style1721214883024" xfId="21" xr:uid="{BF140C94-E566-7344-A18F-D2977F79D9E1}"/>
    <cellStyle name="style1721214883040" xfId="37" xr:uid="{B27F125B-EDAB-4B49-B482-C759DAEF9F2F}"/>
    <cellStyle name="style1721214883060" xfId="38" xr:uid="{E2E4900A-DCCC-024A-9698-5E79A8CEB008}"/>
    <cellStyle name="style1721214883151" xfId="28" xr:uid="{F2E4DC3F-BB5C-9549-9DD2-394F8870DE15}"/>
    <cellStyle name="style1721214883164" xfId="29" xr:uid="{840E2571-325D-3640-BBF9-E6DDEFF823D4}"/>
    <cellStyle name="style1721214883177" xfId="30" xr:uid="{6CF30806-89E0-9344-90A7-2665A173D658}"/>
    <cellStyle name="style1721214883189" xfId="31" xr:uid="{4909887E-61D0-3643-A016-D821FCDD839B}"/>
    <cellStyle name="style1721214883226" xfId="32" xr:uid="{E19A2F09-62B8-5A44-9E74-1A05B67E2400}"/>
    <cellStyle name="style1721214883239" xfId="33" xr:uid="{D3562AE5-0D56-3445-B3D2-7E960905FEF2}"/>
    <cellStyle name="style1721214883251" xfId="19" xr:uid="{31D99387-C387-F94D-B5D0-F852C01987A7}"/>
    <cellStyle name="style1721214883264" xfId="20" xr:uid="{76BCF337-A760-F946-9F6E-40565D5FE5BD}"/>
    <cellStyle name="style1721214883308" xfId="39" xr:uid="{6F42E840-1010-8A49-974C-A0E6D1048BBB}"/>
    <cellStyle name="style1721214883386" xfId="24" xr:uid="{1290FCED-8062-E84C-9F37-010C5E22A401}"/>
    <cellStyle name="style1721214883395" xfId="34" xr:uid="{34CF4966-0A36-E548-A032-94CFFD2A6294}"/>
    <cellStyle name="style1721214883405" xfId="22" xr:uid="{6F0B3686-1054-1E42-9992-A6A714D42D90}"/>
    <cellStyle name="style1721214883416" xfId="23" xr:uid="{DF602CAB-4B95-0A42-A0FC-9C7C8D3379CD}"/>
    <cellStyle name="style1721214883428" xfId="36" xr:uid="{6764A852-80EA-C242-8647-EC4AA40C926C}"/>
    <cellStyle name="style1721214883457" xfId="40" xr:uid="{9B835825-03BD-5A4D-B095-B88394C0A245}"/>
    <cellStyle name="style1721214883474" xfId="41" xr:uid="{E3423347-8EBD-4546-A777-3930A2AED9EE}"/>
    <cellStyle name="style1721214883551" xfId="42" xr:uid="{E8597EB3-9074-9641-B08F-CBE4768B128D}"/>
    <cellStyle name="style1721214883565" xfId="43" xr:uid="{65DF0B16-7127-4B4F-96E9-F43E8E774B53}"/>
    <cellStyle name="style1721214883577" xfId="44" xr:uid="{97BFA39B-052D-B44B-BB55-C04F3AB040A2}"/>
    <cellStyle name="style1721214883588" xfId="45" xr:uid="{AB39C4A0-55AF-8F44-8198-EF6E56D31B98}"/>
    <cellStyle name="style1721214883599" xfId="46" xr:uid="{2C707DD0-9941-3947-9B2C-5FA9B6F6E0CE}"/>
    <cellStyle name="style1732016965184" xfId="47" xr:uid="{330D2816-D5E5-0049-B3BA-A8B5E563C171}"/>
    <cellStyle name="style1732016965233" xfId="48" xr:uid="{F1E7FCBE-F441-334F-AE35-598F8A01A951}"/>
    <cellStyle name="style1732217128245" xfId="53" xr:uid="{ED17B69B-0F22-5C42-8629-70331D6F397E}"/>
    <cellStyle name="style1732217128477" xfId="50" xr:uid="{46AE4A26-F99B-CC42-9FBB-89248B86E5B4}"/>
    <cellStyle name="style1732217128489" xfId="51" xr:uid="{83CC4B9C-A318-7743-95C6-EB0FB7F36289}"/>
    <cellStyle name="style1732217128574" xfId="55" xr:uid="{49024C10-176B-1344-9A6D-555B62260954}"/>
    <cellStyle name="style1732217128584" xfId="56" xr:uid="{7311B291-BC18-3E4E-B43F-2304090D1DB2}"/>
    <cellStyle name="style1732217128597" xfId="52" xr:uid="{BE532A82-EEC6-CA48-A21B-45178266A2DB}"/>
    <cellStyle name="style1732217128618" xfId="54" xr:uid="{AC741EDD-64AC-C14B-8418-0D933FE58139}"/>
    <cellStyle name="style1732217128627" xfId="49" xr:uid="{AD5B1D33-845E-7E4F-8B6B-8ED8D40347AF}"/>
    <cellStyle name="style1739363489248" xfId="63" xr:uid="{7F39C006-C72C-C443-99B0-E00AE2D932D9}"/>
    <cellStyle name="style1739363489264" xfId="64" xr:uid="{7459D65F-A7CB-A249-A437-59B4D6CACC9D}"/>
    <cellStyle name="style1739363489283" xfId="62" xr:uid="{745EB541-047D-9646-AE21-6D4BD4A45D3A}"/>
    <cellStyle name="style1739363489339" xfId="73" xr:uid="{688F2F5E-A671-8B46-B9BD-E320EB7E2FE4}"/>
    <cellStyle name="style1739363489357" xfId="60" xr:uid="{F171CC47-018A-E549-8064-3EBE0EC2B810}"/>
    <cellStyle name="style1739363489378" xfId="75" xr:uid="{56DF5561-CA41-114F-A5E7-E43EAE9454B3}"/>
    <cellStyle name="style1739363489394" xfId="76" xr:uid="{664A9EB6-47C6-2948-A6B1-CF2888C8C8EE}"/>
    <cellStyle name="style1739363489497" xfId="65" xr:uid="{32DFD1A6-6464-C147-8554-CC6472A91DEB}"/>
    <cellStyle name="style1739363489515" xfId="66" xr:uid="{B368B710-C7C9-6045-A899-7FD0463E8537}"/>
    <cellStyle name="style1739363489529" xfId="67" xr:uid="{298CDE42-9977-7A49-A6CA-EBDCEC7F6BF5}"/>
    <cellStyle name="style1739363489542" xfId="68" xr:uid="{41F78616-71E4-A842-93C5-1BAE8E053CAE}"/>
    <cellStyle name="style1739363489582" xfId="69" xr:uid="{F6D43723-54AB-4945-8320-7A79EC258A2B}"/>
    <cellStyle name="style1739363489600" xfId="70" xr:uid="{C86D79FA-2D18-824F-94B2-08C4F89D7449}"/>
    <cellStyle name="style1739363489615" xfId="61" xr:uid="{F1099CB7-25C8-9E4B-9CF4-EF4A805AEB3D}"/>
    <cellStyle name="style1739363489631" xfId="57" xr:uid="{FC0AA082-10F3-C04E-B646-6B510DEE0D5C}"/>
    <cellStyle name="style1739363489687" xfId="77" xr:uid="{893B927E-F0F3-E64D-91C2-BA2A9A8A97CE}"/>
    <cellStyle name="style1739363489769" xfId="80" xr:uid="{A601B981-71A9-DD42-A2AD-430454AEE27C}"/>
    <cellStyle name="style1739363489795" xfId="81" xr:uid="{3AFFDB24-7F69-4B46-9B2F-65AC345C2BA4}"/>
    <cellStyle name="style1739363489808" xfId="71" xr:uid="{CB4258E3-1E41-954B-A4A1-768758172E4E}"/>
    <cellStyle name="style1739363489818" xfId="72" xr:uid="{B52A2565-04D9-1A4C-B154-7CCEE1F7ABFE}"/>
    <cellStyle name="style1739363489830" xfId="58" xr:uid="{03091DF9-599A-9045-8AEC-EFDC6C6E16FC}"/>
    <cellStyle name="style1739363489845" xfId="59" xr:uid="{BC20FFD3-08D4-D740-8D2C-983923E253E2}"/>
    <cellStyle name="style1739363489859" xfId="74" xr:uid="{BA2643D4-00D1-4042-AC20-FF9598D97262}"/>
    <cellStyle name="style1739363489881" xfId="78" xr:uid="{8CA9844B-E32D-2745-9862-F437B89BB871}"/>
    <cellStyle name="style1739363489891" xfId="79" xr:uid="{E001D137-AED7-DC49-9813-D04089CDD179}"/>
  </cellStyles>
  <dxfs count="70">
    <dxf>
      <font>
        <b val="0"/>
        <i val="0"/>
        <strike val="0"/>
        <condense val="0"/>
        <extend val="0"/>
        <outline val="0"/>
        <shadow val="0"/>
        <u val="none"/>
        <vertAlign val="baseline"/>
        <sz val="11"/>
        <color theme="1"/>
        <name val="Calibri"/>
        <family val="2"/>
        <scheme val="minor"/>
      </font>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rgb="FF000000"/>
        <name val="Calibri"/>
        <family val="2"/>
        <scheme val="minor"/>
      </font>
      <numFmt numFmtId="13" formatCode="0%"/>
    </dxf>
    <dxf>
      <font>
        <b val="0"/>
        <i val="0"/>
        <strike val="0"/>
        <condense val="0"/>
        <extend val="0"/>
        <outline val="0"/>
        <shadow val="0"/>
        <u val="none"/>
        <vertAlign val="baseline"/>
        <sz val="11"/>
        <color rgb="FF000000"/>
        <name val="Calibri"/>
        <family val="2"/>
        <scheme val="minor"/>
      </font>
      <numFmt numFmtId="13" formatCode="0%"/>
    </dxf>
    <dxf>
      <font>
        <sz val="11"/>
        <color rgb="FF000000"/>
      </font>
      <numFmt numFmtId="13" formatCode="0%"/>
    </dxf>
    <dxf>
      <font>
        <sz val="11"/>
        <color rgb="FF000000"/>
      </font>
      <numFmt numFmtId="13" formatCode="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numFmt numFmtId="13" formatCode="0%"/>
    </dxf>
    <dxf>
      <numFmt numFmtId="13" formatCode="0%"/>
    </dxf>
    <dxf>
      <numFmt numFmtId="13" formatCode="0%"/>
    </dxf>
    <dxf>
      <alignment horizontal="general" vertical="bottom" textRotation="0" wrapText="1" indent="0" justifyLastLine="0" shrinkToFit="0" readingOrder="0"/>
    </dxf>
    <dxf>
      <numFmt numFmtId="13" formatCode="0%"/>
    </dxf>
    <dxf>
      <numFmt numFmtId="13" formatCode="0%"/>
    </dxf>
    <dxf>
      <numFmt numFmtId="13" formatCode="0%"/>
    </dxf>
    <dxf>
      <numFmt numFmtId="13" formatCode="0%"/>
    </dxf>
    <dxf>
      <numFmt numFmtId="13" formatCode="0%"/>
    </dxf>
    <dxf>
      <alignment horizontal="right" vertical="bottom" textRotation="0" wrapText="1" indent="0" justifyLastLine="0" shrinkToFit="0" readingOrder="0"/>
    </dxf>
    <dxf>
      <numFmt numFmtId="13" formatCode="0%"/>
    </dxf>
    <dxf>
      <numFmt numFmtId="13" formatCode="0%"/>
    </dxf>
    <dxf>
      <numFmt numFmtId="13" formatCode="0%"/>
    </dxf>
    <dxf>
      <numFmt numFmtId="13" formatCode="0%"/>
    </dxf>
    <dxf>
      <alignment horizontal="general" vertical="bottom" textRotation="0" wrapText="1" indent="0" justifyLastLine="0" shrinkToFit="0" readingOrder="0"/>
    </dxf>
    <dxf>
      <numFmt numFmtId="13" formatCode="0%"/>
    </dxf>
    <dxf>
      <numFmt numFmtId="13" formatCode="0%"/>
    </dxf>
    <dxf>
      <numFmt numFmtId="13" formatCode="0%"/>
    </dxf>
    <dxf>
      <numFmt numFmtId="13" formatCode="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rgb="FF000000"/>
        <name val="Calibri"/>
        <family val="2"/>
        <scheme val="minor"/>
      </font>
      <numFmt numFmtId="13" formatCode="0%"/>
    </dxf>
    <dxf>
      <font>
        <b val="0"/>
        <i val="0"/>
        <strike val="0"/>
        <condense val="0"/>
        <extend val="0"/>
        <outline val="0"/>
        <shadow val="0"/>
        <u val="none"/>
        <vertAlign val="baseline"/>
        <sz val="11"/>
        <color rgb="FF000000"/>
        <name val="Calibri"/>
        <family val="2"/>
        <scheme val="minor"/>
      </font>
      <numFmt numFmtId="13" formatCode="0%"/>
    </dxf>
    <dxf>
      <font>
        <b val="0"/>
        <i val="0"/>
        <strike val="0"/>
        <condense val="0"/>
        <extend val="0"/>
        <outline val="0"/>
        <shadow val="0"/>
        <u val="none"/>
        <vertAlign val="baseline"/>
        <sz val="11"/>
        <color rgb="FF000000"/>
        <name val="Calibri"/>
        <family val="2"/>
        <scheme val="minor"/>
      </font>
      <numFmt numFmtId="13" formatCode="0%"/>
    </dxf>
    <dxf>
      <font>
        <sz val="11"/>
        <color rgb="FF000000"/>
      </font>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right" vertical="bottom" textRotation="0" wrapText="1" indent="0" justifyLastLine="0" shrinkToFit="0" readingOrder="0"/>
    </dxf>
    <dxf>
      <numFmt numFmtId="13" formatCode="0%"/>
    </dxf>
    <dxf>
      <numFmt numFmtId="13" formatCode="0%"/>
    </dxf>
    <dxf>
      <numFmt numFmtId="13" formatCode="0%"/>
    </dxf>
    <dxf>
      <numFmt numFmtId="13" formatCode="0%"/>
    </dxf>
    <dxf>
      <alignment horizontal="right" vertical="bottom" textRotation="0" wrapText="1" indent="0" justifyLastLine="0" shrinkToFit="0" readingOrder="0"/>
    </dxf>
    <dxf>
      <numFmt numFmtId="13" formatCode="0%"/>
    </dxf>
    <dxf>
      <numFmt numFmtId="13" formatCode="0%"/>
    </dxf>
    <dxf>
      <numFmt numFmtId="13" formatCode="0%"/>
    </dxf>
    <dxf>
      <numFmt numFmtId="13" formatCode="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3" formatCode="0%"/>
    </dxf>
    <dxf>
      <font>
        <b val="0"/>
        <i val="0"/>
        <strike val="0"/>
        <condense val="0"/>
        <extend val="0"/>
        <outline val="0"/>
        <shadow val="0"/>
        <u val="none"/>
        <vertAlign val="baseline"/>
        <sz val="11"/>
        <color theme="1"/>
        <name val="Calibri"/>
        <family val="2"/>
        <scheme val="minor"/>
      </font>
    </dxf>
    <dxf>
      <font>
        <sz val="12"/>
        <color rgb="FF010205"/>
        <name val="Arial"/>
        <family val="2"/>
        <scheme val="none"/>
      </font>
      <numFmt numFmtId="13" formatCode="0%"/>
    </dxf>
    <dxf>
      <font>
        <sz val="12"/>
        <color rgb="FF010205"/>
        <name val="Arial"/>
        <family val="2"/>
        <scheme val="none"/>
      </font>
      <numFmt numFmtId="13" formatCode="0%"/>
    </dxf>
  </dxfs>
  <tableStyles count="0" defaultTableStyle="TableStyleMedium2" defaultPivotStyle="PivotStyleLight16"/>
  <colors>
    <mruColors>
      <color rgb="FFDDE7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5DD063-7C5B-914B-BA68-D2467588EF4D}" name="Table12" displayName="Table12" ref="A1:E4" totalsRowShown="0">
  <tableColumns count="5">
    <tableColumn id="1" xr3:uid="{7F7DEA34-F910-DC40-A226-78AABC5EA669}" name=" "/>
    <tableColumn id="5" xr3:uid="{56E528CF-1E38-4249-A9D4-A2F67E5AAFC2}" name="Q4 2023_x000a_(N=28)" dataDxfId="69" dataCellStyle="Percent"/>
    <tableColumn id="6" xr3:uid="{C8A6D2AA-B2A4-124B-A875-48FFFD8AA5D7}" name="Q1 2024_x000a_(N=12)" dataDxfId="68" dataCellStyle="Percent"/>
    <tableColumn id="8" xr3:uid="{4F656AC8-7F01-DF4A-B90E-B0FB851ECF0D}" name="Q2 2024_x000a_(N=44)" dataDxfId="67" dataCellStyle="Percent"/>
    <tableColumn id="9" xr3:uid="{65970BFF-F0EC-D049-BF28-359CACDBACB9}" name="Q3 2024_x000a_(N=19)" dataDxfId="66" dataCellStyle="Perce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571C2C8-1519-9942-8688-B403354D46ED}" name="Table1258" displayName="Table1258" ref="A1:E9" totalsRowShown="0" headerRowDxfId="65">
  <tableColumns count="5">
    <tableColumn id="1" xr3:uid="{211A44CC-12F5-7349-8A88-8C703A859522}" name=" " dataDxfId="64"/>
    <tableColumn id="4" xr3:uid="{07D2B74F-2C16-C244-8B9C-85F27E981216}" name="Q1 2024_x000a_(N=12)"/>
    <tableColumn id="5" xr3:uid="{455D6A3F-70DD-2D48-BA29-9CE6DE296AFF}" name="Q2 2024_x000a_(N=44)"/>
    <tableColumn id="6" xr3:uid="{3BEAB00C-0849-B548-A95A-6FBBA5F301D9}" name="Q3 2024_x000a_(N=19)"/>
    <tableColumn id="7" xr3:uid="{578C785B-2B71-1248-90ED-2B04707B7EFF}" name="Q4 2024_x000a_(N=3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7C17D8-6C17-6D47-9ABD-D0E613E8EBF3}" name="Table12584" displayName="Table12584" ref="A1:E9" totalsRowShown="0">
  <tableColumns count="5">
    <tableColumn id="1" xr3:uid="{A2965E54-5349-8241-9D3E-A36B77196029}" name=" "/>
    <tableColumn id="4" xr3:uid="{D5D79429-2C85-2D4C-BDB7-A2DADDA80EAF}" name="Q1 2024_x000a_(N=12)"/>
    <tableColumn id="5" xr3:uid="{2533A394-935D-B042-917E-EFB5DBD79964}" name="Q2 2024_x000a_(N=44)"/>
    <tableColumn id="6" xr3:uid="{7AA81BA9-B6CE-D545-81F1-02AA425BADFC}" name="Q3 2024_x000a_(N=19)"/>
    <tableColumn id="7" xr3:uid="{ADAA2EDD-8214-8641-98A5-024365DB114F}" name="Q4 2024_x000a_(N=3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7B301F-4582-2E40-A4E6-613EE90F77AF}" name="Table1262" displayName="Table1262" ref="A1:E9" totalsRowShown="0">
  <tableColumns count="5">
    <tableColumn id="1" xr3:uid="{73F219BD-713B-394E-87BF-231F4F81665A}" name=" "/>
    <tableColumn id="2" xr3:uid="{026B082A-0438-3E40-94D4-CD5A2566AD2D}" name="Q1 2024_x000a_(N=12)"/>
    <tableColumn id="3" xr3:uid="{184CBD45-ADC6-D241-814F-DB872BFD7566}" name="Q2 2024_x000a_(N=44)"/>
    <tableColumn id="4" xr3:uid="{23D0726D-3C71-AF4D-A007-2E1C3A863B5E}" name="Q3 2024_x000a_(N=19)"/>
    <tableColumn id="5" xr3:uid="{0B0DC12A-29EA-2C49-916A-EF2A5D8FDDA8}" name="Q4 2024_x000a_(N=3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F475E8-6210-9D4A-B4C8-034F5404843B}" name="Table1282" displayName="Table1282" ref="A1:E9" totalsRowShown="0">
  <tableColumns count="5">
    <tableColumn id="1" xr3:uid="{4C104C67-2ABF-AF4B-8B92-55DAA4EB9E91}" name=" "/>
    <tableColumn id="2" xr3:uid="{10EBD4B5-26A0-BE49-B742-26748A37A30B}" name="Q1 2024_x000a_(N=12)"/>
    <tableColumn id="3" xr3:uid="{9EBA304C-12B6-2145-80F1-F6C327BF610C}" name="Q2 2024_x000a_(N=44)"/>
    <tableColumn id="4" xr3:uid="{AF4F0A34-64AD-6441-9CAE-36EC89EFF3DE}" name="Q3 2024_x000a_(N=19)"/>
    <tableColumn id="5" xr3:uid="{DCB0E9BE-67AE-2148-8761-71CF7674B587}" name="Q4 2024_x000a_(N=3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DCF99F3-A30D-A74B-8E6C-EE05F13050F7}" name="Table171412" displayName="Table171412" ref="A1:E6" totalsRowShown="0">
  <tableColumns count="5">
    <tableColumn id="1" xr3:uid="{4BA09912-5F0C-1745-A399-57C8920F1E4E}" name=" "/>
    <tableColumn id="4" xr3:uid="{CDFD4EA5-9285-A84B-9935-42EFB7160D47}" name="Q1 2024_x000a_(N=12)"/>
    <tableColumn id="5" xr3:uid="{6C9A70C6-B537-B145-B0B1-E73A029D3FD4}" name="Q2 2024_x000a_(N=44)"/>
    <tableColumn id="6" xr3:uid="{0AE0B159-0293-BC40-8443-E10746DAC9B5}" name="Q3 2024_x000a_(N=19)"/>
    <tableColumn id="7" xr3:uid="{EDBFB8A7-E6DA-4C4F-9E67-4453FB00EC03}" name="Q4 2024_x000a_(N=3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6C4EF1A-42B8-824D-99FD-C70816086A44}" name="Table117" displayName="Table117" ref="A1:E4" totalsRowShown="0">
  <tableColumns count="5">
    <tableColumn id="1" xr3:uid="{84CC3F72-D1F9-C847-B23E-5105198299F2}" name=" "/>
    <tableColumn id="4" xr3:uid="{2317DE2B-0BC4-0B48-BF59-14CE1C053811}" name="Q4 2023_x000a_(N=28)" dataDxfId="63"/>
    <tableColumn id="5" xr3:uid="{6CFF0F36-9FF9-2545-B817-C84B372FCABE}" name="Q1 2024_x000a_(N=12)" dataDxfId="62"/>
    <tableColumn id="6" xr3:uid="{C48E4733-6DE7-D446-9E20-946FD0AF19FE}" name="Q2 2024_x000a_(N=44)" dataDxfId="61"/>
    <tableColumn id="8" xr3:uid="{D775C04D-E74F-D941-9CFB-7DDA26ECAA70}" name="Q3 2024_x000a_(N=19)" dataDxfId="6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D441EE-04E4-C246-95F0-0209266D16CA}" name="Table182" displayName="Table182" ref="A1:E9" totalsRowShown="0">
  <tableColumns count="5">
    <tableColumn id="1" xr3:uid="{C65E4537-3F68-014E-801D-247BA63E150C}" name=" " dataDxfId="59"/>
    <tableColumn id="2" xr3:uid="{90F40A46-FC31-574E-B26C-D45F3AF23C8C}" name="8" dataDxfId="58"/>
    <tableColumn id="3" xr3:uid="{804D4612-27D2-D542-972F-6848C175C113}" name="9" dataDxfId="57"/>
    <tableColumn id="4" xr3:uid="{4804C3AC-C17B-3A4C-820E-56F35BD36BBF}" name="10" dataDxfId="56"/>
    <tableColumn id="5" xr3:uid="{0DA5F009-1C1A-E945-A083-054CFF7D4F7F}" name="sum of displayed values" dataDxfId="55">
      <calculatedColumnFormula>SUM(ROUND(Table182[[#This Row],[8]],2),ROUND(Table182[[#This Row],[9]],2),ROUND(Table182[[#This Row],[10]],2))</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1376E1-EF14-8B46-A099-4ACD6BA088FD}" name="Table194" displayName="Table194" ref="A1:E9" totalsRowShown="0">
  <tableColumns count="5">
    <tableColumn id="1" xr3:uid="{EE970EE5-E6EE-E249-B189-DF1DE02AB0F4}" name=" " dataDxfId="54"/>
    <tableColumn id="2" xr3:uid="{93B82730-B57D-B448-B967-C3FEB328E80C}" name="8" dataDxfId="53"/>
    <tableColumn id="3" xr3:uid="{07E4ECF9-9A91-AD4A-8B12-1F1CFECB955B}" name="9" dataDxfId="52"/>
    <tableColumn id="4" xr3:uid="{80994F8D-6774-BB47-AB75-9C29E8DEE236}" name="10" dataDxfId="51"/>
    <tableColumn id="5" xr3:uid="{ACB127D4-ACC6-484D-9C7C-3D4F0818C9A7}" name="sum of displayed values" dataDxfId="50">
      <calculatedColumnFormula>SUM(ROUND(B2,2),ROUND(C2,2),ROUND(D2,2))</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81F992A-CF81-4D44-BF32-997E0E4EF6AE}" name="Table123" displayName="Table123" ref="A8:E11" totalsRowShown="0">
  <tableColumns count="5">
    <tableColumn id="1" xr3:uid="{B85A01BC-C037-BC4C-92D9-50DA742A1D7A}" name=" "/>
    <tableColumn id="4" xr3:uid="{702A29B8-20DC-5448-BAA1-F8091FA0FCAF}" name="Q3 2023_x000a_(N=16)" dataDxfId="49"/>
    <tableColumn id="5" xr3:uid="{E3C1E62F-92AE-4441-A252-706BB15B78E9}" name="Q4 2023_x000a_(N=28)" dataDxfId="48" dataCellStyle="Percent"/>
    <tableColumn id="6" xr3:uid="{672CC357-C7AB-7744-8A4C-96E65EF69992}" name="Q1 2024_x000a_(N=12)" dataDxfId="47" dataCellStyle="Percent"/>
    <tableColumn id="7" xr3:uid="{55FBC995-E3AA-4D4C-8A5F-A3515862B482}" name="Q2 2024_x000a_(N=44)" dataDxfId="46" dataCellStyle="Percent"/>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52FAFB-EE13-E54D-990C-8678E3CCD90B}" name="Table12317" displayName="Table12317" ref="A1:E4" totalsRowShown="0">
  <tableColumns count="5">
    <tableColumn id="1" xr3:uid="{897D6793-71FF-EC4C-9619-92CA462B4219}" name=" "/>
    <tableColumn id="4" xr3:uid="{9B26C93C-7BBE-2340-996D-CEEA83CFEAE3}" name="Q4 2023_x000a_(N=28)" dataDxfId="45" dataCellStyle="Percent"/>
    <tableColumn id="5" xr3:uid="{9E707D70-4CBC-AC4E-992F-9A4F4FC826CE}" name="Q1 2024_x000a_(N=12)" dataDxfId="44" dataCellStyle="Percent"/>
    <tableColumn id="6" xr3:uid="{27B43AF8-E36A-DE46-9B45-D28DC2D733EF}" name="Q2 2024_x000a_(N=44)" dataDxfId="43" dataCellStyle="Percent"/>
    <tableColumn id="7" xr3:uid="{E93CFC11-8F54-5943-94CB-938FBE116415}" name="Q3 2024_x000a_(N=19)" dataDxfId="42" dataCellStyle="Percent"/>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3EBDA69-63DB-1E45-99FC-B8F319A88A5B}" name="Table118" displayName="Table118" ref="A1:E3" totalsRowShown="0">
  <tableColumns count="5">
    <tableColumn id="1" xr3:uid="{69BE4015-23B3-5E49-81AF-4191118904DC}" name=" "/>
    <tableColumn id="4" xr3:uid="{74CD3CE7-5555-C542-B7F1-7AA66038632A}" name="Q4 2023_x000a_(n=17)" dataDxfId="41"/>
    <tableColumn id="5" xr3:uid="{70BE3F6A-6EF1-D049-B0F7-D509854C1F7E}" name="Q1 2024_x000a_(n=5)" dataDxfId="40"/>
    <tableColumn id="6" xr3:uid="{1034F86F-B857-1A46-B165-7B2D97F6C1E5}" name="Q2 2024_x000a_(n=16)" dataDxfId="39"/>
    <tableColumn id="7" xr3:uid="{6925A768-46A5-1E4E-8EF6-2C230D4762BD}" name="Q3 2024_x000a_(n=9)" dataDxfId="38"/>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4AE38F-D4A6-E548-987E-8E61DBB589BD}" name="Table13" displayName="Table13" ref="A1:E4" totalsRowShown="0">
  <tableColumns count="5">
    <tableColumn id="1" xr3:uid="{E2EB41E4-7EB7-EC4F-BD6A-E18484E39A2B}" name=" "/>
    <tableColumn id="4" xr3:uid="{488DF2E5-9F0C-064D-A497-4945B5B17BA3}" name="Q4 2023_x000a_(N=28)" dataDxfId="37" dataCellStyle="Percent"/>
    <tableColumn id="5" xr3:uid="{161FCF8F-FBF6-3749-9160-8BB75C556CE1}" name="Q1 2024_x000a_(N=12)" dataDxfId="36" dataCellStyle="Percent"/>
    <tableColumn id="6" xr3:uid="{5FB36C49-C2EE-9946-9FF4-047410BAB5EB}" name="Q2 2024_x000a_(N=44)" dataDxfId="35" dataCellStyle="Percent"/>
    <tableColumn id="7" xr3:uid="{51C0E132-7F23-5E42-A912-0A8A81EEB2AD}" name="Q3 2024_x000a_(N=19)" dataDxfId="34" dataCellStyle="Percent"/>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7A8E68-DA5A-504B-8C08-BCDDFE23F26F}" name="Table15" displayName="Table15" ref="A3:E5" totalsRowShown="0">
  <tableColumns count="5">
    <tableColumn id="1" xr3:uid="{2C2E6D1F-94A5-2245-862F-927FCF4B8BCF}" name=" "/>
    <tableColumn id="8" xr3:uid="{B4F35A20-C972-C243-9C16-A837D87AABD9}" name="Q2 2023_x000a_(N=40)" dataDxfId="33" dataCellStyle="Percent"/>
    <tableColumn id="16" xr3:uid="{3BEBF298-B344-8F43-A86E-1484E9AA38BC}" name="Q3 2023_x000a_(N=16)" dataDxfId="32" dataCellStyle="Percent"/>
    <tableColumn id="17" xr3:uid="{6DBABC2C-B902-0042-BDC9-A8390FA011FE}" name="Q4 2023_x000a_(N=28)" dataDxfId="31" dataCellStyle="Percent"/>
    <tableColumn id="18" xr3:uid="{CE7515F3-2BCF-384A-AC19-381815200D69}" name="Q1 2024_x000a_(N=12)" dataDxfId="30" dataCellStyle="Percent"/>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61201A8-863A-5E47-97D4-988BCB546DCD}" name="Table134" displayName="Table134" ref="A1:E5" totalsRowShown="0">
  <tableColumns count="5">
    <tableColumn id="1" xr3:uid="{812C4A95-A36D-844D-8D7B-57D1A39CAE32}" name=" " dataDxfId="29"/>
    <tableColumn id="2" xr3:uid="{D33A05C9-F87B-164A-9C8A-9CD36DE17DFB}" name="8" dataDxfId="28"/>
    <tableColumn id="3" xr3:uid="{475392A0-C70C-164C-ACA6-48A9655787FF}" name="9" dataDxfId="27"/>
    <tableColumn id="4" xr3:uid="{2246C5F3-17E3-A344-A379-0C2A8519FC93}" name="10" dataDxfId="26"/>
    <tableColumn id="5" xr3:uid="{6DBE4B68-CCF1-3C42-ADE8-321B28661B50}" name="Column1" dataDxfId="25">
      <calculatedColumnFormula>Table134[[#This Row],[8]]+Table134[[#This Row],[9]]+Table134[[#This Row],[10]]</calculatedColumnFormula>
    </tableColumn>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1D67EE5-34FC-3244-B0D3-BC422A02DF4B}" name="Table13435" displayName="Table13435" ref="A9:E13" totalsRowShown="0">
  <tableColumns count="5">
    <tableColumn id="1" xr3:uid="{D33CD742-9381-2840-92AC-611796C3809A}" name=" " dataDxfId="24"/>
    <tableColumn id="2" xr3:uid="{F4CF37E1-C0A2-FC47-895B-B6EE82468352}" name="8" dataDxfId="23"/>
    <tableColumn id="3" xr3:uid="{25BC4626-13AB-0D43-B810-8ED81114DA52}" name="9" dataDxfId="22"/>
    <tableColumn id="4" xr3:uid="{8D8F6FCF-0D9C-2140-B714-822A0E91612C}" name="10" dataDxfId="21"/>
    <tableColumn id="5" xr3:uid="{B43F03FF-926E-9D4D-B4E2-2596BEA19EA3}" name="sum of displayed values" dataDxfId="20">
      <calculatedColumnFormula>SUM(ROUND(B10,2),ROUND(C10,2),ROUND(D10,2))</calculatedColumnFormula>
    </tableColumn>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6F43D55-1070-FD40-9932-5D319F5791CF}" name="Table140" displayName="Table140" ref="A9:E13" totalsRowShown="0">
  <tableColumns count="5">
    <tableColumn id="1" xr3:uid="{F36B9699-AF32-C048-BB14-65BD3591FDB5}" name=" " dataDxfId="19"/>
    <tableColumn id="2" xr3:uid="{FC0664E0-25EA-164E-AC6D-2554FE837999}" name="8" dataDxfId="18"/>
    <tableColumn id="3" xr3:uid="{0048D305-1950-7D4C-8376-9BB767D2BD9A}" name="9" dataDxfId="17"/>
    <tableColumn id="4" xr3:uid="{BA75599C-9ED4-0441-90FD-C2FF2F890847}" name="10" dataDxfId="16"/>
    <tableColumn id="5" xr3:uid="{05C0B47B-2363-8347-AB8F-B94CB28B73FB}" name="sum of displayed values" dataDxfId="15">
      <calculatedColumnFormula>SUM(ROUND(B10,2),ROUND(C10,2),ROUND(D10,2))</calculatedColumnFormula>
    </tableColumn>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61B65A4-1B65-9B4F-B219-31FF0AE9FD42}" name="Table1" displayName="Table1" ref="A1:E5" totalsRowShown="0">
  <tableColumns count="5">
    <tableColumn id="1" xr3:uid="{CA412190-419B-3646-9C54-4F26984F6E02}" name=" " dataDxfId="13"/>
    <tableColumn id="2" xr3:uid="{B76A5457-CDA8-B540-9179-614E2CB32B02}" name="8" dataDxfId="12"/>
    <tableColumn id="3" xr3:uid="{1D16AC3C-E63C-CA46-BEFA-86CBAA7E5749}" name="9" dataDxfId="11"/>
    <tableColumn id="4" xr3:uid="{276A7165-8EAD-3646-BC47-6F424356B8CE}" name="10" dataDxfId="10"/>
    <tableColumn id="5" xr3:uid="{C55803AC-28F9-F246-A3BB-C987B8A2221B}" name="sum of displayed values" dataDxfId="14">
      <calculatedColumnFormula>SUM(ROUND(B2,2),ROUND(C2,2),ROUND(D2,2))</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CBB9732-A5D7-F446-87CF-22754CA23EF3}" name="Table115" displayName="Table115" ref="A1:E5" totalsRowShown="0" headerRowDxfId="9">
  <tableColumns count="5">
    <tableColumn id="1" xr3:uid="{9379E8F3-062A-FC4D-8E9D-E21F80968AF0}" name=" " dataDxfId="8"/>
    <tableColumn id="6" xr3:uid="{0E9CC7CB-D05C-9149-BA08-05967F948C76}" name="Q1 2024_x000a_(N=12)" dataDxfId="7"/>
    <tableColumn id="7" xr3:uid="{B44A8054-DAB8-A547-84AF-65D8ECC83741}" name="Q2 2024_x000a_(N=44)" dataDxfId="6"/>
    <tableColumn id="8" xr3:uid="{0D8ABB4A-7227-0547-A331-CE110D23D613}" name="Q3 2024_x000a_(N=19)" dataDxfId="5"/>
    <tableColumn id="10" xr3:uid="{5B4DC710-CD14-F840-A1FD-E6BC5329A80D}" name="Q4 2024_x000a_(N=33)" dataDxfId="4"/>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87330FE-FB75-0845-9718-97ED1C9D7E7A}" name="Table12046316" displayName="Table12046316" ref="A1:E6" totalsRowShown="0">
  <tableColumns count="5">
    <tableColumn id="1" xr3:uid="{19E708B6-D8C0-1244-9A6C-B2081F4DAFEB}" name=" "/>
    <tableColumn id="13" xr3:uid="{9A679E3B-3D88-8B44-AF65-D41E896A7297}" name="Q1 2024_x000a_(N=12)" dataDxfId="2" dataCellStyle="Percent"/>
    <tableColumn id="14" xr3:uid="{88DE308C-7F5B-7E47-93F5-29A0D7E1F380}" name="Q2 2024_x000a_(N=44)" dataDxfId="1" dataCellStyle="Percent"/>
    <tableColumn id="15" xr3:uid="{0DEDAA5E-D291-FE4F-9098-68AC36F4E3DD}" name="Q3 2024_x000a_(N=19)" dataDxfId="0" dataCellStyle="Percent"/>
    <tableColumn id="16" xr3:uid="{2D7C3540-82F8-E643-B55A-434ACC0FA8D8}" name="Q4 2024_x000a_(N=33)" dataDxfId="3" dataCellStyle="Percent"/>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0DD8B-853E-794C-AE6C-5123743C7565}">
  <dimension ref="A1:G4"/>
  <sheetViews>
    <sheetView workbookViewId="0">
      <selection sqref="A1:E4"/>
    </sheetView>
  </sheetViews>
  <sheetFormatPr baseColWidth="10" defaultRowHeight="16" x14ac:dyDescent="0.2"/>
  <sheetData>
    <row r="1" spans="1:7" ht="34" x14ac:dyDescent="0.2">
      <c r="A1" t="s">
        <v>42</v>
      </c>
      <c r="B1" s="17" t="s">
        <v>75</v>
      </c>
      <c r="C1" s="17" t="s">
        <v>124</v>
      </c>
      <c r="D1" s="17" t="s">
        <v>146</v>
      </c>
      <c r="E1" s="17" t="s">
        <v>194</v>
      </c>
    </row>
    <row r="2" spans="1:7" x14ac:dyDescent="0.2">
      <c r="A2" t="s">
        <v>88</v>
      </c>
      <c r="B2" s="19">
        <v>0.21</v>
      </c>
      <c r="C2" s="19">
        <v>8.3333333333333315E-2</v>
      </c>
      <c r="D2" s="18">
        <v>0.25</v>
      </c>
      <c r="E2" s="18">
        <v>0.15789473684210525</v>
      </c>
      <c r="G2" s="18">
        <v>0.01</v>
      </c>
    </row>
    <row r="3" spans="1:7" x14ac:dyDescent="0.2">
      <c r="A3" t="s">
        <v>89</v>
      </c>
      <c r="B3" s="19">
        <v>0.75</v>
      </c>
      <c r="C3" s="19">
        <v>0.91666666666666652</v>
      </c>
      <c r="D3" s="18">
        <v>0.75</v>
      </c>
      <c r="E3" s="18">
        <v>0.84210526315789469</v>
      </c>
    </row>
    <row r="4" spans="1:7" x14ac:dyDescent="0.2">
      <c r="A4" t="s">
        <v>10</v>
      </c>
      <c r="B4" s="19">
        <v>0.04</v>
      </c>
      <c r="C4" s="19">
        <v>0</v>
      </c>
      <c r="D4" s="19">
        <v>0</v>
      </c>
      <c r="E4" s="18">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4552E-9D00-2746-B940-445A6304A5A9}">
  <dimension ref="C4:D4"/>
  <sheetViews>
    <sheetView workbookViewId="0">
      <selection activeCell="D4" sqref="D4"/>
    </sheetView>
  </sheetViews>
  <sheetFormatPr baseColWidth="10" defaultRowHeight="16" x14ac:dyDescent="0.2"/>
  <sheetData>
    <row r="4" spans="3:4" x14ac:dyDescent="0.2">
      <c r="C4" s="58">
        <v>5.2631578947368416</v>
      </c>
      <c r="D4" s="59">
        <v>94.73684210526315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1A5D7-D140-3A44-9FDB-A86C9A83D48F}">
  <dimension ref="A1:E7"/>
  <sheetViews>
    <sheetView workbookViewId="0">
      <selection activeCell="A7" sqref="A7:E7"/>
    </sheetView>
  </sheetViews>
  <sheetFormatPr baseColWidth="10" defaultRowHeight="16" x14ac:dyDescent="0.2"/>
  <cols>
    <col min="1" max="1" width="29.5" customWidth="1"/>
  </cols>
  <sheetData>
    <row r="1" spans="1:5" ht="19" thickBot="1" x14ac:dyDescent="0.25">
      <c r="A1" s="15"/>
      <c r="B1" s="28" t="s">
        <v>0</v>
      </c>
      <c r="C1" s="28" t="s">
        <v>70</v>
      </c>
      <c r="D1" s="28" t="s">
        <v>122</v>
      </c>
      <c r="E1" s="28" t="s">
        <v>143</v>
      </c>
    </row>
    <row r="2" spans="1:5" ht="20" thickTop="1" thickBot="1" x14ac:dyDescent="0.25">
      <c r="A2" s="50" t="s">
        <v>144</v>
      </c>
      <c r="B2" s="51">
        <v>0</v>
      </c>
      <c r="C2" s="51">
        <v>0</v>
      </c>
      <c r="D2" s="51">
        <v>0</v>
      </c>
      <c r="E2" s="51">
        <v>1</v>
      </c>
    </row>
    <row r="3" spans="1:5" ht="38" thickTop="1" thickBot="1" x14ac:dyDescent="0.25">
      <c r="A3" s="42" t="s">
        <v>140</v>
      </c>
      <c r="B3" s="34">
        <v>0</v>
      </c>
      <c r="C3" s="34">
        <v>0</v>
      </c>
      <c r="D3" s="34">
        <v>1</v>
      </c>
      <c r="E3" s="34">
        <v>0</v>
      </c>
    </row>
    <row r="4" spans="1:5" ht="73" thickBot="1" x14ac:dyDescent="0.25">
      <c r="A4" s="43" t="s">
        <v>141</v>
      </c>
      <c r="B4" s="35">
        <v>0</v>
      </c>
      <c r="C4" s="35">
        <v>1</v>
      </c>
      <c r="D4" s="35">
        <v>0</v>
      </c>
      <c r="E4" s="35">
        <v>0</v>
      </c>
    </row>
    <row r="5" spans="1:5" ht="55" thickBot="1" x14ac:dyDescent="0.25">
      <c r="A5" s="44" t="s">
        <v>142</v>
      </c>
      <c r="B5" s="45">
        <v>0</v>
      </c>
      <c r="C5" s="45">
        <v>1</v>
      </c>
      <c r="D5" s="45">
        <v>0</v>
      </c>
      <c r="E5" s="45">
        <v>0</v>
      </c>
    </row>
    <row r="6" spans="1:5" ht="20" thickTop="1" thickBot="1" x14ac:dyDescent="0.25">
      <c r="A6" s="48" t="s">
        <v>93</v>
      </c>
      <c r="B6" s="49">
        <v>0</v>
      </c>
      <c r="C6" s="49">
        <v>0</v>
      </c>
      <c r="D6" s="49">
        <v>0</v>
      </c>
      <c r="E6" s="49">
        <v>1</v>
      </c>
    </row>
    <row r="7" spans="1:5" ht="20" thickTop="1" thickBot="1" x14ac:dyDescent="0.25">
      <c r="A7" s="46" t="s">
        <v>69</v>
      </c>
      <c r="B7" s="47">
        <v>0</v>
      </c>
      <c r="C7" s="47">
        <v>2</v>
      </c>
      <c r="D7" s="47">
        <v>1</v>
      </c>
      <c r="E7" s="47">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BC9F-B199-C14C-94A0-856DC19FFD4E}">
  <dimension ref="A1:I5"/>
  <sheetViews>
    <sheetView workbookViewId="0">
      <selection activeCell="H2" sqref="H2"/>
    </sheetView>
  </sheetViews>
  <sheetFormatPr baseColWidth="10" defaultRowHeight="16" x14ac:dyDescent="0.2"/>
  <sheetData>
    <row r="1" spans="1:9" x14ac:dyDescent="0.2">
      <c r="A1" t="s">
        <v>42</v>
      </c>
      <c r="B1" t="s">
        <v>85</v>
      </c>
      <c r="C1" t="s">
        <v>86</v>
      </c>
      <c r="D1" t="s">
        <v>87</v>
      </c>
      <c r="E1" t="s">
        <v>147</v>
      </c>
      <c r="H1" t="s">
        <v>148</v>
      </c>
    </row>
    <row r="2" spans="1:9" x14ac:dyDescent="0.2">
      <c r="A2" t="s">
        <v>44</v>
      </c>
      <c r="B2" s="18">
        <v>0</v>
      </c>
      <c r="C2" s="18">
        <v>0</v>
      </c>
      <c r="D2" s="18">
        <v>0.01</v>
      </c>
      <c r="E2">
        <v>1</v>
      </c>
      <c r="H2">
        <v>1</v>
      </c>
      <c r="I2" s="18">
        <v>0.01</v>
      </c>
    </row>
    <row r="3" spans="1:9" x14ac:dyDescent="0.2">
      <c r="A3" t="s">
        <v>75</v>
      </c>
      <c r="B3" s="18">
        <v>4.0000000000000002E-4</v>
      </c>
      <c r="C3" s="18">
        <v>7.000000000000001E-4</v>
      </c>
      <c r="D3" s="18">
        <v>8.199999999999999E-3</v>
      </c>
      <c r="E3">
        <v>0.92999999999999994</v>
      </c>
      <c r="H3">
        <v>0.92999999999999994</v>
      </c>
    </row>
    <row r="4" spans="1:9" x14ac:dyDescent="0.2">
      <c r="A4" t="s">
        <v>124</v>
      </c>
      <c r="B4" s="18">
        <v>8.0000000000000004E-4</v>
      </c>
      <c r="C4" s="18">
        <v>0</v>
      </c>
      <c r="D4" s="18">
        <v>8.3000000000000001E-3</v>
      </c>
      <c r="E4">
        <v>0.90999999999999992</v>
      </c>
      <c r="H4">
        <v>0.90999999999999992</v>
      </c>
    </row>
    <row r="5" spans="1:9" x14ac:dyDescent="0.2">
      <c r="A5" t="s">
        <v>146</v>
      </c>
      <c r="B5" s="18">
        <v>4.5454545454545465E-4</v>
      </c>
      <c r="C5" s="18">
        <v>4.5454545454545465E-4</v>
      </c>
      <c r="D5" s="18">
        <v>8.6363636363636365E-3</v>
      </c>
      <c r="E5">
        <v>0.96</v>
      </c>
      <c r="H5">
        <v>0.95454545454545459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9E23E-40C7-0F42-A956-0AC0D4C8E970}">
  <dimension ref="A1:F31"/>
  <sheetViews>
    <sheetView workbookViewId="0">
      <selection sqref="A1:E9"/>
    </sheetView>
  </sheetViews>
  <sheetFormatPr baseColWidth="10" defaultRowHeight="16" x14ac:dyDescent="0.2"/>
  <sheetData>
    <row r="1" spans="1:5" ht="34" x14ac:dyDescent="0.2">
      <c r="A1" t="s">
        <v>42</v>
      </c>
      <c r="B1" s="17" t="s">
        <v>124</v>
      </c>
      <c r="C1" s="17" t="s">
        <v>146</v>
      </c>
      <c r="D1" s="17" t="s">
        <v>194</v>
      </c>
      <c r="E1" s="17" t="s">
        <v>293</v>
      </c>
    </row>
    <row r="2" spans="1:5" x14ac:dyDescent="0.2">
      <c r="A2" t="s">
        <v>71</v>
      </c>
      <c r="B2">
        <v>0</v>
      </c>
      <c r="C2">
        <v>0</v>
      </c>
      <c r="D2">
        <v>1</v>
      </c>
      <c r="E2">
        <v>2</v>
      </c>
    </row>
    <row r="3" spans="1:5" ht="34" x14ac:dyDescent="0.2">
      <c r="A3" s="17" t="s">
        <v>72</v>
      </c>
      <c r="B3">
        <v>3</v>
      </c>
      <c r="C3">
        <v>12</v>
      </c>
      <c r="D3">
        <v>5</v>
      </c>
      <c r="E3">
        <v>14</v>
      </c>
    </row>
    <row r="4" spans="1:5" x14ac:dyDescent="0.2">
      <c r="A4" t="s">
        <v>73</v>
      </c>
      <c r="B4">
        <v>3</v>
      </c>
      <c r="C4">
        <v>18</v>
      </c>
      <c r="D4">
        <v>10</v>
      </c>
      <c r="E4">
        <v>11</v>
      </c>
    </row>
    <row r="5" spans="1:5" ht="34" x14ac:dyDescent="0.2">
      <c r="A5" s="17" t="s">
        <v>74</v>
      </c>
      <c r="B5">
        <v>4</v>
      </c>
      <c r="C5">
        <v>13</v>
      </c>
      <c r="D5">
        <v>3</v>
      </c>
      <c r="E5">
        <v>6</v>
      </c>
    </row>
    <row r="6" spans="1:5" x14ac:dyDescent="0.2">
      <c r="A6" t="s">
        <v>71</v>
      </c>
      <c r="B6">
        <v>0</v>
      </c>
      <c r="C6">
        <v>0</v>
      </c>
      <c r="D6">
        <v>2</v>
      </c>
      <c r="E6">
        <v>1</v>
      </c>
    </row>
    <row r="7" spans="1:5" ht="34" x14ac:dyDescent="0.2">
      <c r="A7" s="17" t="s">
        <v>72</v>
      </c>
      <c r="B7">
        <v>2</v>
      </c>
      <c r="C7">
        <v>8</v>
      </c>
      <c r="D7">
        <v>2</v>
      </c>
      <c r="E7">
        <v>5</v>
      </c>
    </row>
    <row r="8" spans="1:5" x14ac:dyDescent="0.2">
      <c r="A8" t="s">
        <v>73</v>
      </c>
      <c r="B8">
        <v>2</v>
      </c>
      <c r="C8">
        <v>4</v>
      </c>
      <c r="D8">
        <v>2</v>
      </c>
      <c r="E8">
        <v>6</v>
      </c>
    </row>
    <row r="9" spans="1:5" ht="34" x14ac:dyDescent="0.2">
      <c r="A9" s="17" t="s">
        <v>74</v>
      </c>
      <c r="B9">
        <v>8</v>
      </c>
      <c r="C9">
        <v>31</v>
      </c>
      <c r="D9">
        <v>13</v>
      </c>
      <c r="E9">
        <v>20</v>
      </c>
    </row>
    <row r="10" spans="1:5" x14ac:dyDescent="0.2">
      <c r="A10" s="17"/>
    </row>
    <row r="12" spans="1:5" x14ac:dyDescent="0.2">
      <c r="A12" s="17"/>
    </row>
    <row r="16" spans="1:5" x14ac:dyDescent="0.2">
      <c r="A16" t="s">
        <v>291</v>
      </c>
    </row>
    <row r="17" spans="1:6" x14ac:dyDescent="0.2">
      <c r="A17" t="s">
        <v>151</v>
      </c>
      <c r="C17" t="s">
        <v>152</v>
      </c>
      <c r="D17" t="s">
        <v>153</v>
      </c>
      <c r="E17" t="s">
        <v>154</v>
      </c>
      <c r="F17" t="s">
        <v>155</v>
      </c>
    </row>
    <row r="18" spans="1:6" x14ac:dyDescent="0.2">
      <c r="A18" t="s">
        <v>156</v>
      </c>
      <c r="B18" t="s">
        <v>71</v>
      </c>
      <c r="C18">
        <v>2</v>
      </c>
      <c r="D18">
        <v>6.0606060606060606</v>
      </c>
      <c r="E18">
        <v>6.0606060606060606</v>
      </c>
      <c r="F18">
        <v>6.0606060606060606</v>
      </c>
    </row>
    <row r="19" spans="1:6" x14ac:dyDescent="0.2">
      <c r="B19" t="s">
        <v>76</v>
      </c>
      <c r="C19">
        <v>14</v>
      </c>
      <c r="D19">
        <v>42.424242424242422</v>
      </c>
      <c r="E19">
        <v>42.424242424242422</v>
      </c>
      <c r="F19">
        <v>48.484848484848484</v>
      </c>
    </row>
    <row r="20" spans="1:6" x14ac:dyDescent="0.2">
      <c r="B20" t="s">
        <v>73</v>
      </c>
      <c r="C20">
        <v>11</v>
      </c>
      <c r="D20">
        <v>33.333333333333329</v>
      </c>
      <c r="E20">
        <v>33.333333333333329</v>
      </c>
      <c r="F20">
        <v>81.818181818181827</v>
      </c>
    </row>
    <row r="21" spans="1:6" x14ac:dyDescent="0.2">
      <c r="B21" t="s">
        <v>77</v>
      </c>
      <c r="C21">
        <v>6</v>
      </c>
      <c r="D21">
        <v>18.181818181818183</v>
      </c>
      <c r="E21">
        <v>18.181818181818183</v>
      </c>
      <c r="F21">
        <v>100</v>
      </c>
    </row>
    <row r="22" spans="1:6" x14ac:dyDescent="0.2">
      <c r="B22" t="s">
        <v>157</v>
      </c>
      <c r="C22">
        <v>33</v>
      </c>
      <c r="D22">
        <v>100</v>
      </c>
      <c r="E22">
        <v>100</v>
      </c>
    </row>
    <row r="24" spans="1:6" x14ac:dyDescent="0.2">
      <c r="A24" t="s">
        <v>292</v>
      </c>
    </row>
    <row r="25" spans="1:6" x14ac:dyDescent="0.2">
      <c r="A25" t="s">
        <v>151</v>
      </c>
      <c r="C25" t="s">
        <v>152</v>
      </c>
      <c r="D25" t="s">
        <v>153</v>
      </c>
      <c r="E25" t="s">
        <v>154</v>
      </c>
      <c r="F25" t="s">
        <v>155</v>
      </c>
    </row>
    <row r="26" spans="1:6" x14ac:dyDescent="0.2">
      <c r="A26" t="s">
        <v>156</v>
      </c>
      <c r="B26" t="s">
        <v>71</v>
      </c>
      <c r="C26">
        <v>1</v>
      </c>
      <c r="D26">
        <v>3.0303030303030303</v>
      </c>
      <c r="E26">
        <v>3.0303030303030303</v>
      </c>
      <c r="F26">
        <v>3.0303030303030303</v>
      </c>
    </row>
    <row r="27" spans="1:6" x14ac:dyDescent="0.2">
      <c r="B27" t="s">
        <v>76</v>
      </c>
      <c r="C27">
        <v>5</v>
      </c>
      <c r="D27">
        <v>15.151515151515152</v>
      </c>
      <c r="E27">
        <v>15.151515151515152</v>
      </c>
      <c r="F27">
        <v>18.181818181818183</v>
      </c>
    </row>
    <row r="28" spans="1:6" x14ac:dyDescent="0.2">
      <c r="B28" t="s">
        <v>73</v>
      </c>
      <c r="C28">
        <v>6</v>
      </c>
      <c r="D28">
        <v>18.181818181818183</v>
      </c>
      <c r="E28">
        <v>18.181818181818183</v>
      </c>
      <c r="F28">
        <v>36.363636363636367</v>
      </c>
    </row>
    <row r="29" spans="1:6" x14ac:dyDescent="0.2">
      <c r="B29" t="s">
        <v>77</v>
      </c>
      <c r="C29">
        <v>20</v>
      </c>
      <c r="D29">
        <v>60.606060606060609</v>
      </c>
      <c r="E29">
        <v>60.606060606060609</v>
      </c>
      <c r="F29">
        <v>96.969696969696969</v>
      </c>
    </row>
    <row r="30" spans="1:6" x14ac:dyDescent="0.2">
      <c r="B30" t="s">
        <v>123</v>
      </c>
      <c r="C30">
        <v>1</v>
      </c>
      <c r="D30">
        <v>3.0303030303030303</v>
      </c>
      <c r="E30">
        <v>3.0303030303030303</v>
      </c>
      <c r="F30">
        <v>100</v>
      </c>
    </row>
    <row r="31" spans="1:6" x14ac:dyDescent="0.2">
      <c r="B31" t="s">
        <v>157</v>
      </c>
      <c r="C31">
        <v>33</v>
      </c>
      <c r="D31">
        <v>100</v>
      </c>
      <c r="E31">
        <v>100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7B99-0398-9D48-8C0C-B183AFCCD961}">
  <dimension ref="A1:E9"/>
  <sheetViews>
    <sheetView workbookViewId="0">
      <selection sqref="A1:E9"/>
    </sheetView>
  </sheetViews>
  <sheetFormatPr baseColWidth="10" defaultRowHeight="16" x14ac:dyDescent="0.2"/>
  <sheetData>
    <row r="1" spans="1:5" ht="34" x14ac:dyDescent="0.2">
      <c r="A1" t="s">
        <v>42</v>
      </c>
      <c r="B1" s="17" t="s">
        <v>124</v>
      </c>
      <c r="C1" s="17" t="s">
        <v>146</v>
      </c>
      <c r="D1" s="17" t="s">
        <v>194</v>
      </c>
      <c r="E1" s="17" t="s">
        <v>293</v>
      </c>
    </row>
    <row r="2" spans="1:5" x14ac:dyDescent="0.2">
      <c r="A2" t="s">
        <v>71</v>
      </c>
      <c r="B2">
        <v>0</v>
      </c>
      <c r="C2">
        <v>2</v>
      </c>
      <c r="D2">
        <v>4</v>
      </c>
      <c r="E2" s="80">
        <v>3</v>
      </c>
    </row>
    <row r="3" spans="1:5" ht="34" x14ac:dyDescent="0.2">
      <c r="A3" s="17" t="s">
        <v>72</v>
      </c>
      <c r="B3">
        <v>2</v>
      </c>
      <c r="C3">
        <v>10</v>
      </c>
      <c r="D3">
        <v>5</v>
      </c>
      <c r="E3" s="81">
        <v>4</v>
      </c>
    </row>
    <row r="4" spans="1:5" x14ac:dyDescent="0.2">
      <c r="A4" t="s">
        <v>73</v>
      </c>
      <c r="B4">
        <v>5</v>
      </c>
      <c r="C4">
        <v>9</v>
      </c>
      <c r="D4">
        <v>3</v>
      </c>
      <c r="E4" s="81">
        <v>13</v>
      </c>
    </row>
    <row r="5" spans="1:5" ht="34" x14ac:dyDescent="0.2">
      <c r="A5" s="17" t="s">
        <v>74</v>
      </c>
      <c r="B5">
        <v>5</v>
      </c>
      <c r="C5">
        <v>18</v>
      </c>
      <c r="D5">
        <v>7</v>
      </c>
      <c r="E5" s="81">
        <v>11</v>
      </c>
    </row>
    <row r="6" spans="1:5" x14ac:dyDescent="0.2">
      <c r="A6" t="s">
        <v>71</v>
      </c>
      <c r="B6">
        <v>3</v>
      </c>
      <c r="C6">
        <v>24</v>
      </c>
      <c r="D6">
        <v>9</v>
      </c>
      <c r="E6" s="80">
        <v>9</v>
      </c>
    </row>
    <row r="7" spans="1:5" ht="34" x14ac:dyDescent="0.2">
      <c r="A7" s="17" t="s">
        <v>72</v>
      </c>
      <c r="B7">
        <v>4</v>
      </c>
      <c r="C7">
        <v>11</v>
      </c>
      <c r="D7">
        <v>6</v>
      </c>
      <c r="E7" s="81">
        <v>15</v>
      </c>
    </row>
    <row r="8" spans="1:5" x14ac:dyDescent="0.2">
      <c r="A8" t="s">
        <v>73</v>
      </c>
      <c r="B8">
        <v>0</v>
      </c>
      <c r="C8">
        <v>1</v>
      </c>
      <c r="D8">
        <v>1</v>
      </c>
      <c r="E8" s="81">
        <v>2</v>
      </c>
    </row>
    <row r="9" spans="1:5" ht="34" x14ac:dyDescent="0.2">
      <c r="A9" s="17" t="s">
        <v>74</v>
      </c>
      <c r="B9">
        <v>3</v>
      </c>
      <c r="C9">
        <v>7</v>
      </c>
      <c r="D9">
        <v>3</v>
      </c>
      <c r="E9" s="81">
        <v>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38D7B-456B-6A47-88E8-88E0B6C49D3B}">
  <dimension ref="A1:F28"/>
  <sheetViews>
    <sheetView workbookViewId="0">
      <selection sqref="A1:E9"/>
    </sheetView>
  </sheetViews>
  <sheetFormatPr baseColWidth="10" defaultRowHeight="16" x14ac:dyDescent="0.2"/>
  <sheetData>
    <row r="1" spans="1:5" ht="34" x14ac:dyDescent="0.2">
      <c r="A1" t="s">
        <v>42</v>
      </c>
      <c r="B1" s="17" t="s">
        <v>124</v>
      </c>
      <c r="C1" s="17" t="s">
        <v>146</v>
      </c>
      <c r="D1" s="17" t="s">
        <v>194</v>
      </c>
      <c r="E1" s="17" t="s">
        <v>293</v>
      </c>
    </row>
    <row r="2" spans="1:5" x14ac:dyDescent="0.2">
      <c r="A2" t="s">
        <v>71</v>
      </c>
      <c r="B2">
        <v>4</v>
      </c>
      <c r="C2">
        <v>8</v>
      </c>
      <c r="D2">
        <v>1</v>
      </c>
      <c r="E2">
        <v>3</v>
      </c>
    </row>
    <row r="3" spans="1:5" x14ac:dyDescent="0.2">
      <c r="A3" t="s">
        <v>72</v>
      </c>
      <c r="B3">
        <v>5</v>
      </c>
      <c r="C3">
        <v>16</v>
      </c>
      <c r="D3">
        <v>14</v>
      </c>
      <c r="E3">
        <v>19</v>
      </c>
    </row>
    <row r="4" spans="1:5" x14ac:dyDescent="0.2">
      <c r="A4" t="s">
        <v>73</v>
      </c>
      <c r="B4">
        <v>1</v>
      </c>
      <c r="C4">
        <v>10</v>
      </c>
      <c r="D4">
        <v>1</v>
      </c>
      <c r="E4">
        <v>4</v>
      </c>
    </row>
    <row r="5" spans="1:5" x14ac:dyDescent="0.2">
      <c r="A5" t="s">
        <v>74</v>
      </c>
      <c r="B5">
        <v>0</v>
      </c>
      <c r="C5">
        <v>9</v>
      </c>
      <c r="D5">
        <v>3</v>
      </c>
      <c r="E5">
        <v>6</v>
      </c>
    </row>
    <row r="6" spans="1:5" x14ac:dyDescent="0.2">
      <c r="A6" t="s">
        <v>71</v>
      </c>
      <c r="B6">
        <v>10</v>
      </c>
      <c r="C6">
        <v>34</v>
      </c>
      <c r="D6">
        <v>15</v>
      </c>
      <c r="E6">
        <v>22</v>
      </c>
    </row>
    <row r="7" spans="1:5" x14ac:dyDescent="0.2">
      <c r="A7" t="s">
        <v>72</v>
      </c>
      <c r="B7">
        <v>0</v>
      </c>
      <c r="C7">
        <v>7</v>
      </c>
      <c r="D7">
        <v>4</v>
      </c>
      <c r="E7">
        <v>8</v>
      </c>
    </row>
    <row r="8" spans="1:5" x14ac:dyDescent="0.2">
      <c r="A8" t="s">
        <v>73</v>
      </c>
      <c r="B8">
        <v>2</v>
      </c>
      <c r="C8">
        <v>0</v>
      </c>
      <c r="D8">
        <v>0</v>
      </c>
      <c r="E8">
        <v>3</v>
      </c>
    </row>
    <row r="9" spans="1:5" x14ac:dyDescent="0.2">
      <c r="A9" t="s">
        <v>74</v>
      </c>
      <c r="B9">
        <v>0</v>
      </c>
      <c r="C9">
        <v>1</v>
      </c>
      <c r="D9">
        <v>0</v>
      </c>
      <c r="E9">
        <v>0</v>
      </c>
    </row>
    <row r="16" spans="1:5" x14ac:dyDescent="0.2">
      <c r="A16" t="s">
        <v>195</v>
      </c>
    </row>
    <row r="17" spans="1:6" x14ac:dyDescent="0.2">
      <c r="A17" t="s">
        <v>151</v>
      </c>
      <c r="C17" t="s">
        <v>152</v>
      </c>
      <c r="D17" t="s">
        <v>153</v>
      </c>
      <c r="E17" t="s">
        <v>154</v>
      </c>
      <c r="F17" t="s">
        <v>155</v>
      </c>
    </row>
    <row r="18" spans="1:6" x14ac:dyDescent="0.2">
      <c r="A18" t="s">
        <v>156</v>
      </c>
      <c r="B18" t="s">
        <v>71</v>
      </c>
      <c r="C18">
        <v>1</v>
      </c>
      <c r="D18">
        <v>5.2631578947368416</v>
      </c>
      <c r="E18">
        <v>5.2631578947368416</v>
      </c>
      <c r="F18">
        <v>5.2631578947368416</v>
      </c>
    </row>
    <row r="19" spans="1:6" x14ac:dyDescent="0.2">
      <c r="B19" t="s">
        <v>76</v>
      </c>
      <c r="C19">
        <v>14</v>
      </c>
      <c r="D19">
        <v>73.68421052631578</v>
      </c>
      <c r="E19">
        <v>73.68421052631578</v>
      </c>
      <c r="F19">
        <v>78.94736842105263</v>
      </c>
    </row>
    <row r="20" spans="1:6" x14ac:dyDescent="0.2">
      <c r="B20" t="s">
        <v>73</v>
      </c>
      <c r="C20">
        <v>1</v>
      </c>
      <c r="D20">
        <v>5.2631578947368416</v>
      </c>
      <c r="E20">
        <v>5.2631578947368416</v>
      </c>
      <c r="F20">
        <v>84.210526315789465</v>
      </c>
    </row>
    <row r="21" spans="1:6" x14ac:dyDescent="0.2">
      <c r="B21" t="s">
        <v>77</v>
      </c>
      <c r="C21">
        <v>3</v>
      </c>
      <c r="D21">
        <v>15.789473684210526</v>
      </c>
      <c r="E21">
        <v>15.789473684210526</v>
      </c>
      <c r="F21">
        <v>100</v>
      </c>
    </row>
    <row r="22" spans="1:6" x14ac:dyDescent="0.2">
      <c r="B22" t="s">
        <v>157</v>
      </c>
      <c r="C22">
        <v>19</v>
      </c>
      <c r="D22">
        <v>100</v>
      </c>
      <c r="E22">
        <v>100</v>
      </c>
    </row>
    <row r="24" spans="1:6" x14ac:dyDescent="0.2">
      <c r="A24" t="s">
        <v>196</v>
      </c>
    </row>
    <row r="25" spans="1:6" x14ac:dyDescent="0.2">
      <c r="A25" t="s">
        <v>151</v>
      </c>
      <c r="C25" t="s">
        <v>152</v>
      </c>
      <c r="D25" t="s">
        <v>153</v>
      </c>
      <c r="E25" t="s">
        <v>154</v>
      </c>
      <c r="F25" t="s">
        <v>155</v>
      </c>
    </row>
    <row r="26" spans="1:6" x14ac:dyDescent="0.2">
      <c r="A26" t="s">
        <v>156</v>
      </c>
      <c r="B26" t="s">
        <v>71</v>
      </c>
      <c r="C26">
        <v>15</v>
      </c>
      <c r="D26">
        <v>78.94736842105263</v>
      </c>
      <c r="E26">
        <v>78.94736842105263</v>
      </c>
      <c r="F26">
        <v>78.94736842105263</v>
      </c>
    </row>
    <row r="27" spans="1:6" x14ac:dyDescent="0.2">
      <c r="B27" t="s">
        <v>76</v>
      </c>
      <c r="C27">
        <v>4</v>
      </c>
      <c r="D27">
        <v>21.052631578947366</v>
      </c>
      <c r="E27">
        <v>21.052631578947366</v>
      </c>
      <c r="F27">
        <v>100</v>
      </c>
    </row>
    <row r="28" spans="1:6" x14ac:dyDescent="0.2">
      <c r="B28" t="s">
        <v>157</v>
      </c>
      <c r="C28">
        <v>19</v>
      </c>
      <c r="D28">
        <v>100</v>
      </c>
      <c r="E28">
        <v>100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E11D-6D4E-FC43-882F-1769D4587141}">
  <dimension ref="A1:F29"/>
  <sheetViews>
    <sheetView workbookViewId="0">
      <selection sqref="A1:E9"/>
    </sheetView>
  </sheetViews>
  <sheetFormatPr baseColWidth="10" defaultRowHeight="16" x14ac:dyDescent="0.2"/>
  <sheetData>
    <row r="1" spans="1:6" ht="34" x14ac:dyDescent="0.2">
      <c r="A1" t="s">
        <v>42</v>
      </c>
      <c r="B1" s="17" t="s">
        <v>124</v>
      </c>
      <c r="C1" s="17" t="s">
        <v>146</v>
      </c>
      <c r="D1" s="17" t="s">
        <v>194</v>
      </c>
      <c r="E1" s="17" t="s">
        <v>293</v>
      </c>
    </row>
    <row r="2" spans="1:6" x14ac:dyDescent="0.2">
      <c r="A2" t="s">
        <v>71</v>
      </c>
      <c r="B2">
        <v>1</v>
      </c>
      <c r="C2">
        <v>11</v>
      </c>
      <c r="D2">
        <v>7</v>
      </c>
      <c r="E2">
        <v>6</v>
      </c>
    </row>
    <row r="3" spans="1:6" x14ac:dyDescent="0.2">
      <c r="A3" t="s">
        <v>72</v>
      </c>
      <c r="B3">
        <v>5</v>
      </c>
      <c r="C3">
        <v>11</v>
      </c>
      <c r="D3">
        <v>5</v>
      </c>
      <c r="E3">
        <v>16</v>
      </c>
    </row>
    <row r="4" spans="1:6" x14ac:dyDescent="0.2">
      <c r="A4" t="s">
        <v>73</v>
      </c>
      <c r="B4">
        <v>0</v>
      </c>
      <c r="C4">
        <v>1</v>
      </c>
      <c r="D4">
        <v>0</v>
      </c>
      <c r="E4">
        <v>1</v>
      </c>
    </row>
    <row r="5" spans="1:6" x14ac:dyDescent="0.2">
      <c r="A5" t="s">
        <v>74</v>
      </c>
      <c r="B5">
        <v>6</v>
      </c>
      <c r="C5">
        <v>21</v>
      </c>
      <c r="D5">
        <v>7</v>
      </c>
      <c r="E5">
        <v>9</v>
      </c>
    </row>
    <row r="6" spans="1:6" x14ac:dyDescent="0.2">
      <c r="A6" t="s">
        <v>71</v>
      </c>
      <c r="B6">
        <v>5</v>
      </c>
      <c r="C6">
        <v>29</v>
      </c>
      <c r="D6">
        <v>13</v>
      </c>
      <c r="E6">
        <v>20</v>
      </c>
    </row>
    <row r="7" spans="1:6" x14ac:dyDescent="0.2">
      <c r="A7" t="s">
        <v>72</v>
      </c>
      <c r="B7">
        <v>4</v>
      </c>
      <c r="C7">
        <v>6</v>
      </c>
      <c r="D7">
        <v>2</v>
      </c>
      <c r="E7">
        <v>11</v>
      </c>
    </row>
    <row r="8" spans="1:6" x14ac:dyDescent="0.2">
      <c r="A8" t="s">
        <v>73</v>
      </c>
      <c r="B8">
        <v>0</v>
      </c>
      <c r="C8">
        <v>2</v>
      </c>
      <c r="D8">
        <v>1</v>
      </c>
      <c r="E8">
        <v>0</v>
      </c>
    </row>
    <row r="9" spans="1:6" x14ac:dyDescent="0.2">
      <c r="A9" t="s">
        <v>74</v>
      </c>
      <c r="B9">
        <v>2</v>
      </c>
      <c r="C9">
        <v>6</v>
      </c>
      <c r="D9">
        <v>2</v>
      </c>
      <c r="E9">
        <v>1</v>
      </c>
    </row>
    <row r="15" spans="1:6" x14ac:dyDescent="0.2">
      <c r="A15" t="s">
        <v>197</v>
      </c>
    </row>
    <row r="16" spans="1:6" x14ac:dyDescent="0.2">
      <c r="A16" t="s">
        <v>151</v>
      </c>
      <c r="C16" t="s">
        <v>152</v>
      </c>
      <c r="D16" t="s">
        <v>153</v>
      </c>
      <c r="E16" t="s">
        <v>154</v>
      </c>
      <c r="F16" t="s">
        <v>155</v>
      </c>
    </row>
    <row r="17" spans="1:6" x14ac:dyDescent="0.2">
      <c r="A17" t="s">
        <v>156</v>
      </c>
      <c r="B17" t="s">
        <v>71</v>
      </c>
      <c r="C17">
        <v>7</v>
      </c>
      <c r="D17">
        <v>36.84210526315789</v>
      </c>
      <c r="E17">
        <v>36.84210526315789</v>
      </c>
      <c r="F17">
        <v>36.84210526315789</v>
      </c>
    </row>
    <row r="18" spans="1:6" x14ac:dyDescent="0.2">
      <c r="B18" t="s">
        <v>76</v>
      </c>
      <c r="C18">
        <v>5</v>
      </c>
      <c r="D18">
        <v>26.315789473684209</v>
      </c>
      <c r="E18">
        <v>26.315789473684209</v>
      </c>
      <c r="F18">
        <v>63.157894736842103</v>
      </c>
    </row>
    <row r="19" spans="1:6" x14ac:dyDescent="0.2">
      <c r="B19" t="s">
        <v>77</v>
      </c>
      <c r="C19">
        <v>7</v>
      </c>
      <c r="D19">
        <v>36.84210526315789</v>
      </c>
      <c r="E19">
        <v>36.84210526315789</v>
      </c>
      <c r="F19">
        <v>100</v>
      </c>
    </row>
    <row r="20" spans="1:6" x14ac:dyDescent="0.2">
      <c r="B20" t="s">
        <v>157</v>
      </c>
      <c r="C20">
        <v>19</v>
      </c>
      <c r="D20">
        <v>100</v>
      </c>
      <c r="E20">
        <v>100</v>
      </c>
    </row>
    <row r="22" spans="1:6" x14ac:dyDescent="0.2">
      <c r="A22" t="s">
        <v>198</v>
      </c>
    </row>
    <row r="23" spans="1:6" x14ac:dyDescent="0.2">
      <c r="A23" t="s">
        <v>151</v>
      </c>
      <c r="C23" t="s">
        <v>152</v>
      </c>
      <c r="D23" t="s">
        <v>153</v>
      </c>
      <c r="E23" t="s">
        <v>154</v>
      </c>
      <c r="F23" t="s">
        <v>155</v>
      </c>
    </row>
    <row r="24" spans="1:6" x14ac:dyDescent="0.2">
      <c r="A24" t="s">
        <v>156</v>
      </c>
      <c r="B24" t="s">
        <v>71</v>
      </c>
      <c r="C24">
        <v>13</v>
      </c>
      <c r="D24">
        <v>68.421052631578945</v>
      </c>
      <c r="E24">
        <v>68.421052631578945</v>
      </c>
      <c r="F24">
        <v>68.421052631578945</v>
      </c>
    </row>
    <row r="25" spans="1:6" x14ac:dyDescent="0.2">
      <c r="B25" t="s">
        <v>76</v>
      </c>
      <c r="C25">
        <v>2</v>
      </c>
      <c r="D25">
        <v>10.526315789473683</v>
      </c>
      <c r="E25">
        <v>10.526315789473683</v>
      </c>
      <c r="F25">
        <v>78.94736842105263</v>
      </c>
    </row>
    <row r="26" spans="1:6" x14ac:dyDescent="0.2">
      <c r="B26" t="s">
        <v>73</v>
      </c>
      <c r="C26">
        <v>1</v>
      </c>
      <c r="D26">
        <v>5.2631578947368416</v>
      </c>
      <c r="E26">
        <v>5.2631578947368416</v>
      </c>
      <c r="F26">
        <v>84.210526315789465</v>
      </c>
    </row>
    <row r="27" spans="1:6" x14ac:dyDescent="0.2">
      <c r="B27" t="s">
        <v>77</v>
      </c>
      <c r="C27">
        <v>2</v>
      </c>
      <c r="D27">
        <v>10.526315789473683</v>
      </c>
      <c r="E27">
        <v>10.526315789473683</v>
      </c>
      <c r="F27">
        <v>94.73684210526315</v>
      </c>
    </row>
    <row r="28" spans="1:6" x14ac:dyDescent="0.2">
      <c r="B28" t="s">
        <v>123</v>
      </c>
      <c r="C28">
        <v>1</v>
      </c>
      <c r="D28">
        <v>5.2631578947368416</v>
      </c>
      <c r="E28">
        <v>5.2631578947368416</v>
      </c>
      <c r="F28">
        <v>100</v>
      </c>
    </row>
    <row r="29" spans="1:6" x14ac:dyDescent="0.2">
      <c r="B29" t="s">
        <v>157</v>
      </c>
      <c r="C29">
        <v>19</v>
      </c>
      <c r="D29">
        <v>100</v>
      </c>
      <c r="E29">
        <v>100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1A57-2D2C-B445-B265-C47175B155A3}">
  <dimension ref="A1:F15"/>
  <sheetViews>
    <sheetView workbookViewId="0">
      <selection sqref="A1:E5"/>
    </sheetView>
  </sheetViews>
  <sheetFormatPr baseColWidth="10" defaultRowHeight="16" x14ac:dyDescent="0.2"/>
  <sheetData>
    <row r="1" spans="1:6" ht="32" x14ac:dyDescent="0.2">
      <c r="A1" s="24" t="s">
        <v>42</v>
      </c>
      <c r="B1" s="25" t="s">
        <v>124</v>
      </c>
      <c r="C1" s="25" t="s">
        <v>146</v>
      </c>
      <c r="D1" s="25" t="s">
        <v>194</v>
      </c>
      <c r="E1" s="25" t="s">
        <v>293</v>
      </c>
    </row>
    <row r="2" spans="1:6" x14ac:dyDescent="0.2">
      <c r="A2" t="s">
        <v>71</v>
      </c>
      <c r="B2">
        <v>3</v>
      </c>
      <c r="C2">
        <v>17</v>
      </c>
      <c r="D2">
        <v>9</v>
      </c>
      <c r="E2">
        <v>16</v>
      </c>
    </row>
    <row r="3" spans="1:6" x14ac:dyDescent="0.2">
      <c r="A3" t="s">
        <v>72</v>
      </c>
      <c r="B3">
        <v>2</v>
      </c>
      <c r="C3">
        <v>12</v>
      </c>
      <c r="D3">
        <v>5</v>
      </c>
      <c r="E3">
        <v>7</v>
      </c>
    </row>
    <row r="4" spans="1:6" x14ac:dyDescent="0.2">
      <c r="A4" t="s">
        <v>73</v>
      </c>
      <c r="B4">
        <v>0</v>
      </c>
      <c r="C4">
        <v>4</v>
      </c>
      <c r="D4">
        <v>0</v>
      </c>
      <c r="E4">
        <v>0</v>
      </c>
    </row>
    <row r="5" spans="1:6" x14ac:dyDescent="0.2">
      <c r="A5" t="s">
        <v>74</v>
      </c>
      <c r="B5">
        <v>6</v>
      </c>
      <c r="C5">
        <v>9</v>
      </c>
      <c r="D5">
        <v>5</v>
      </c>
      <c r="E5">
        <v>9</v>
      </c>
    </row>
    <row r="10" spans="1:6" x14ac:dyDescent="0.2">
      <c r="A10" t="s">
        <v>199</v>
      </c>
    </row>
    <row r="11" spans="1:6" x14ac:dyDescent="0.2">
      <c r="A11" t="s">
        <v>151</v>
      </c>
      <c r="C11" t="s">
        <v>152</v>
      </c>
      <c r="D11" t="s">
        <v>153</v>
      </c>
      <c r="E11" t="s">
        <v>154</v>
      </c>
      <c r="F11" t="s">
        <v>155</v>
      </c>
    </row>
    <row r="12" spans="1:6" x14ac:dyDescent="0.2">
      <c r="A12" t="s">
        <v>156</v>
      </c>
      <c r="B12" t="s">
        <v>71</v>
      </c>
      <c r="C12">
        <v>9</v>
      </c>
      <c r="D12">
        <v>47.368421052631575</v>
      </c>
      <c r="E12">
        <v>47.368421052631575</v>
      </c>
      <c r="F12">
        <v>47.368421052631575</v>
      </c>
    </row>
    <row r="13" spans="1:6" x14ac:dyDescent="0.2">
      <c r="B13" t="s">
        <v>76</v>
      </c>
      <c r="C13">
        <v>5</v>
      </c>
      <c r="D13">
        <v>26.315789473684209</v>
      </c>
      <c r="E13">
        <v>26.315789473684209</v>
      </c>
      <c r="F13">
        <v>73.68421052631578</v>
      </c>
    </row>
    <row r="14" spans="1:6" x14ac:dyDescent="0.2">
      <c r="B14" t="s">
        <v>77</v>
      </c>
      <c r="C14">
        <v>5</v>
      </c>
      <c r="D14">
        <v>26.315789473684209</v>
      </c>
      <c r="E14">
        <v>26.315789473684209</v>
      </c>
      <c r="F14">
        <v>100</v>
      </c>
    </row>
    <row r="15" spans="1:6" x14ac:dyDescent="0.2">
      <c r="B15" t="s">
        <v>157</v>
      </c>
      <c r="C15">
        <v>19</v>
      </c>
      <c r="D15">
        <v>100</v>
      </c>
      <c r="E15">
        <v>100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EA83-04C3-C248-B330-4BF3154808DC}">
  <dimension ref="A1:I19"/>
  <sheetViews>
    <sheetView workbookViewId="0">
      <selection sqref="A1:D5"/>
    </sheetView>
  </sheetViews>
  <sheetFormatPr baseColWidth="10" defaultRowHeight="16" x14ac:dyDescent="0.2"/>
  <sheetData>
    <row r="1" spans="1:9" x14ac:dyDescent="0.2">
      <c r="A1" t="s">
        <v>42</v>
      </c>
      <c r="B1" t="s">
        <v>85</v>
      </c>
      <c r="C1" t="s">
        <v>86</v>
      </c>
      <c r="D1" t="s">
        <v>87</v>
      </c>
    </row>
    <row r="2" spans="1:9" ht="34" x14ac:dyDescent="0.2">
      <c r="A2" s="17" t="s">
        <v>124</v>
      </c>
      <c r="B2" s="18"/>
      <c r="C2" s="18"/>
      <c r="D2" s="18">
        <v>0.92</v>
      </c>
      <c r="H2">
        <v>5.2631578947368416</v>
      </c>
      <c r="I2">
        <v>89.473684210526315</v>
      </c>
    </row>
    <row r="3" spans="1:9" ht="34" x14ac:dyDescent="0.2">
      <c r="A3" s="17" t="s">
        <v>146</v>
      </c>
      <c r="B3" s="18">
        <v>6.8181818181818177E-2</v>
      </c>
      <c r="C3" s="18"/>
      <c r="D3" s="18">
        <v>0.93181818181818177</v>
      </c>
    </row>
    <row r="4" spans="1:9" ht="34" x14ac:dyDescent="0.2">
      <c r="A4" s="17" t="s">
        <v>194</v>
      </c>
      <c r="B4" s="18">
        <v>5.2631578947368418E-2</v>
      </c>
      <c r="C4" s="18"/>
      <c r="D4" s="18">
        <v>0.89473684210526316</v>
      </c>
    </row>
    <row r="5" spans="1:9" ht="34" x14ac:dyDescent="0.2">
      <c r="A5" s="17" t="s">
        <v>293</v>
      </c>
      <c r="B5" s="18"/>
      <c r="C5" s="18">
        <v>6.0606060606060608E-2</v>
      </c>
      <c r="D5" s="18">
        <v>0.81818181818181834</v>
      </c>
      <c r="H5" s="18">
        <v>0.01</v>
      </c>
    </row>
    <row r="10" spans="1:9" x14ac:dyDescent="0.2">
      <c r="A10" t="s">
        <v>200</v>
      </c>
    </row>
    <row r="11" spans="1:9" x14ac:dyDescent="0.2">
      <c r="A11" t="s">
        <v>151</v>
      </c>
      <c r="C11" t="s">
        <v>152</v>
      </c>
      <c r="D11" t="s">
        <v>153</v>
      </c>
      <c r="E11" t="s">
        <v>154</v>
      </c>
      <c r="F11" t="s">
        <v>155</v>
      </c>
    </row>
    <row r="12" spans="1:9" x14ac:dyDescent="0.2">
      <c r="A12" t="s">
        <v>156</v>
      </c>
      <c r="B12" t="s">
        <v>201</v>
      </c>
      <c r="C12">
        <v>1</v>
      </c>
      <c r="D12">
        <v>5.2631578947368416</v>
      </c>
      <c r="E12">
        <v>5.2631578947368416</v>
      </c>
      <c r="F12">
        <v>5.2631578947368416</v>
      </c>
    </row>
    <row r="13" spans="1:9" x14ac:dyDescent="0.2">
      <c r="B13" t="s">
        <v>85</v>
      </c>
      <c r="C13">
        <v>1</v>
      </c>
      <c r="D13">
        <v>5.2631578947368416</v>
      </c>
      <c r="E13">
        <v>5.2631578947368416</v>
      </c>
      <c r="F13">
        <v>10.526315789473683</v>
      </c>
    </row>
    <row r="14" spans="1:9" x14ac:dyDescent="0.2">
      <c r="B14" t="s">
        <v>202</v>
      </c>
      <c r="C14">
        <v>17</v>
      </c>
      <c r="D14">
        <v>89.473684210526315</v>
      </c>
      <c r="E14">
        <v>89.473684210526315</v>
      </c>
      <c r="F14">
        <v>100</v>
      </c>
    </row>
    <row r="15" spans="1:9" x14ac:dyDescent="0.2">
      <c r="B15" t="s">
        <v>157</v>
      </c>
      <c r="C15">
        <v>19</v>
      </c>
      <c r="D15">
        <v>100</v>
      </c>
      <c r="E15">
        <v>100</v>
      </c>
    </row>
    <row r="19" spans="3:4" x14ac:dyDescent="0.2">
      <c r="C19" s="82">
        <v>6.0606060606060606</v>
      </c>
      <c r="D19" s="82">
        <v>81.818181818181827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A380D-7987-BB46-8021-C47860215A8E}">
  <dimension ref="A4:N18"/>
  <sheetViews>
    <sheetView workbookViewId="0">
      <selection activeCell="A5" sqref="A5:E12"/>
    </sheetView>
  </sheetViews>
  <sheetFormatPr baseColWidth="10" defaultRowHeight="16" x14ac:dyDescent="0.2"/>
  <sheetData>
    <row r="4" spans="1:14" ht="17" thickBot="1" x14ac:dyDescent="0.25"/>
    <row r="5" spans="1:14" ht="19" thickBot="1" x14ac:dyDescent="0.25">
      <c r="A5" s="28"/>
      <c r="B5" s="16" t="s">
        <v>122</v>
      </c>
      <c r="C5" s="16" t="s">
        <v>143</v>
      </c>
      <c r="D5" s="16" t="s">
        <v>203</v>
      </c>
      <c r="E5" s="16" t="s">
        <v>294</v>
      </c>
    </row>
    <row r="6" spans="1:14" ht="74" thickTop="1" thickBot="1" x14ac:dyDescent="0.25">
      <c r="A6" s="3" t="s">
        <v>80</v>
      </c>
      <c r="B6" s="4">
        <v>0</v>
      </c>
      <c r="C6" s="4">
        <v>0</v>
      </c>
      <c r="D6" s="4">
        <v>0</v>
      </c>
      <c r="E6" s="4">
        <v>1</v>
      </c>
      <c r="J6" t="s">
        <v>80</v>
      </c>
      <c r="K6">
        <v>0</v>
      </c>
      <c r="L6">
        <v>0</v>
      </c>
      <c r="M6">
        <v>0</v>
      </c>
      <c r="N6">
        <v>1</v>
      </c>
    </row>
    <row r="7" spans="1:14" ht="19" thickBot="1" x14ac:dyDescent="0.25">
      <c r="A7" s="5" t="s">
        <v>132</v>
      </c>
      <c r="B7" s="6">
        <v>0</v>
      </c>
      <c r="C7" s="6">
        <v>0</v>
      </c>
      <c r="D7" s="6">
        <v>0</v>
      </c>
      <c r="E7" s="6">
        <v>1</v>
      </c>
      <c r="J7" t="s">
        <v>132</v>
      </c>
      <c r="K7">
        <v>0</v>
      </c>
      <c r="L7">
        <v>0</v>
      </c>
      <c r="M7">
        <v>0</v>
      </c>
      <c r="N7">
        <v>1</v>
      </c>
    </row>
    <row r="8" spans="1:14" ht="55" thickBot="1" x14ac:dyDescent="0.25">
      <c r="A8" s="5" t="s">
        <v>79</v>
      </c>
      <c r="B8" s="6">
        <v>1</v>
      </c>
      <c r="C8" s="6">
        <v>0</v>
      </c>
      <c r="D8" s="6">
        <v>0</v>
      </c>
      <c r="E8" s="6">
        <v>0</v>
      </c>
      <c r="J8" t="s">
        <v>79</v>
      </c>
      <c r="K8">
        <v>1</v>
      </c>
      <c r="L8">
        <v>0</v>
      </c>
      <c r="M8">
        <v>0</v>
      </c>
      <c r="N8">
        <v>0</v>
      </c>
    </row>
    <row r="9" spans="1:14" ht="55" thickBot="1" x14ac:dyDescent="0.25">
      <c r="A9" s="5" t="s">
        <v>82</v>
      </c>
      <c r="B9" s="6">
        <v>0</v>
      </c>
      <c r="C9" s="6">
        <v>0</v>
      </c>
      <c r="D9" s="6">
        <v>0</v>
      </c>
      <c r="E9" s="6">
        <v>0</v>
      </c>
      <c r="J9" t="s">
        <v>82</v>
      </c>
      <c r="K9">
        <v>0</v>
      </c>
      <c r="L9">
        <v>0</v>
      </c>
      <c r="M9">
        <v>0</v>
      </c>
      <c r="N9">
        <v>0</v>
      </c>
    </row>
    <row r="10" spans="1:14" ht="73" thickBot="1" x14ac:dyDescent="0.25">
      <c r="A10" s="5" t="s">
        <v>81</v>
      </c>
      <c r="B10" s="6">
        <v>0</v>
      </c>
      <c r="C10" s="6">
        <v>0</v>
      </c>
      <c r="D10" s="6">
        <v>0</v>
      </c>
      <c r="E10" s="6">
        <v>1</v>
      </c>
      <c r="J10" t="s">
        <v>81</v>
      </c>
      <c r="K10">
        <v>0</v>
      </c>
      <c r="L10">
        <v>0</v>
      </c>
      <c r="M10">
        <v>0</v>
      </c>
      <c r="N10">
        <v>1</v>
      </c>
    </row>
    <row r="11" spans="1:14" ht="19" thickBot="1" x14ac:dyDescent="0.25">
      <c r="A11" s="7" t="s">
        <v>225</v>
      </c>
      <c r="B11" s="8">
        <v>0</v>
      </c>
      <c r="C11" s="8">
        <v>0</v>
      </c>
      <c r="D11" s="8">
        <v>1</v>
      </c>
      <c r="E11" s="8">
        <v>1</v>
      </c>
      <c r="J11" t="s">
        <v>225</v>
      </c>
      <c r="K11">
        <v>0</v>
      </c>
      <c r="L11">
        <v>0</v>
      </c>
      <c r="M11">
        <v>1</v>
      </c>
      <c r="N11">
        <v>1</v>
      </c>
    </row>
    <row r="12" spans="1:14" ht="20" thickTop="1" thickBot="1" x14ac:dyDescent="0.25">
      <c r="A12" s="9" t="s">
        <v>69</v>
      </c>
      <c r="B12" s="10">
        <v>1</v>
      </c>
      <c r="C12" s="10">
        <v>0</v>
      </c>
      <c r="D12" s="10">
        <v>1</v>
      </c>
      <c r="E12" s="10">
        <v>4</v>
      </c>
    </row>
    <row r="15" spans="1:14" ht="51" x14ac:dyDescent="0.2">
      <c r="A15" s="23" t="s">
        <v>79</v>
      </c>
      <c r="B15" s="22">
        <v>1</v>
      </c>
    </row>
    <row r="16" spans="1:14" ht="68" x14ac:dyDescent="0.2">
      <c r="A16" s="20" t="s">
        <v>81</v>
      </c>
      <c r="B16" s="21">
        <v>1</v>
      </c>
    </row>
    <row r="17" spans="1:2" ht="68" x14ac:dyDescent="0.2">
      <c r="A17" s="20" t="s">
        <v>80</v>
      </c>
      <c r="B17" s="21">
        <v>1</v>
      </c>
    </row>
    <row r="18" spans="1:2" ht="51" x14ac:dyDescent="0.2">
      <c r="A18" s="20" t="s">
        <v>82</v>
      </c>
      <c r="B18" s="21">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ECE09-D9CE-1145-9090-A0C1E3F13340}">
  <dimension ref="A1:E4"/>
  <sheetViews>
    <sheetView workbookViewId="0">
      <selection sqref="A1:E4"/>
    </sheetView>
  </sheetViews>
  <sheetFormatPr baseColWidth="10" defaultRowHeight="16" x14ac:dyDescent="0.2"/>
  <sheetData>
    <row r="1" spans="1:5" ht="34" x14ac:dyDescent="0.2">
      <c r="A1" t="s">
        <v>42</v>
      </c>
      <c r="B1" s="17" t="s">
        <v>75</v>
      </c>
      <c r="C1" s="17" t="s">
        <v>124</v>
      </c>
      <c r="D1" s="17" t="s">
        <v>146</v>
      </c>
      <c r="E1" s="17" t="s">
        <v>194</v>
      </c>
    </row>
    <row r="2" spans="1:5" x14ac:dyDescent="0.2">
      <c r="A2" t="s">
        <v>88</v>
      </c>
      <c r="B2" s="18">
        <v>0.96</v>
      </c>
      <c r="C2" s="18">
        <v>1</v>
      </c>
      <c r="D2" s="18">
        <v>1</v>
      </c>
      <c r="E2" s="18">
        <v>1</v>
      </c>
    </row>
    <row r="3" spans="1:5" x14ac:dyDescent="0.2">
      <c r="A3" t="s">
        <v>89</v>
      </c>
      <c r="B3" s="18">
        <v>0.04</v>
      </c>
      <c r="C3" s="18">
        <v>0</v>
      </c>
      <c r="D3" s="18">
        <v>0</v>
      </c>
      <c r="E3" s="18">
        <v>0</v>
      </c>
    </row>
    <row r="4" spans="1:5" x14ac:dyDescent="0.2">
      <c r="A4" t="s">
        <v>10</v>
      </c>
      <c r="B4" s="18">
        <v>0</v>
      </c>
      <c r="C4" s="18">
        <v>0</v>
      </c>
      <c r="D4" s="18">
        <v>0</v>
      </c>
      <c r="E4" s="18">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6E20D-7C90-3A47-B595-5717DE276D40}">
  <dimension ref="A1:E6"/>
  <sheetViews>
    <sheetView workbookViewId="0">
      <selection activeCell="A2" sqref="A2:E6"/>
    </sheetView>
  </sheetViews>
  <sheetFormatPr baseColWidth="10" defaultRowHeight="16" x14ac:dyDescent="0.2"/>
  <sheetData>
    <row r="1" spans="1:5" ht="17" thickBot="1" x14ac:dyDescent="0.25"/>
    <row r="2" spans="1:5" ht="19" thickBot="1" x14ac:dyDescent="0.25">
      <c r="A2" s="15"/>
      <c r="B2" s="16" t="s">
        <v>122</v>
      </c>
      <c r="C2" s="16" t="s">
        <v>143</v>
      </c>
      <c r="D2" s="16" t="s">
        <v>203</v>
      </c>
      <c r="E2" s="16" t="s">
        <v>294</v>
      </c>
    </row>
    <row r="3" spans="1:5" ht="223" thickTop="1" thickBot="1" x14ac:dyDescent="0.25">
      <c r="A3" s="83" t="s">
        <v>295</v>
      </c>
      <c r="B3" s="84">
        <v>0</v>
      </c>
      <c r="C3" s="84">
        <v>0</v>
      </c>
      <c r="D3" s="84">
        <v>0</v>
      </c>
      <c r="E3" s="84">
        <v>1</v>
      </c>
    </row>
    <row r="4" spans="1:5" ht="240" thickTop="1" thickBot="1" x14ac:dyDescent="0.25">
      <c r="A4" s="83" t="s">
        <v>296</v>
      </c>
      <c r="B4" s="84">
        <v>0</v>
      </c>
      <c r="C4" s="84">
        <v>0</v>
      </c>
      <c r="D4" s="84">
        <v>0</v>
      </c>
      <c r="E4" s="84">
        <v>1</v>
      </c>
    </row>
    <row r="5" spans="1:5" ht="172" thickTop="1" thickBot="1" x14ac:dyDescent="0.25">
      <c r="A5" s="83" t="s">
        <v>297</v>
      </c>
      <c r="B5" s="85">
        <v>0</v>
      </c>
      <c r="C5" s="85">
        <v>0</v>
      </c>
      <c r="D5" s="85">
        <v>0</v>
      </c>
      <c r="E5" s="85">
        <v>1</v>
      </c>
    </row>
    <row r="6" spans="1:5" ht="20" thickTop="1" thickBot="1" x14ac:dyDescent="0.25">
      <c r="A6" s="9" t="s">
        <v>69</v>
      </c>
      <c r="B6" s="10">
        <v>0</v>
      </c>
      <c r="C6" s="10">
        <v>0</v>
      </c>
      <c r="D6" s="10">
        <v>0</v>
      </c>
      <c r="E6" s="10">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8A3B2-0B51-5046-8E9A-46F61F530886}">
  <dimension ref="A1:I38"/>
  <sheetViews>
    <sheetView workbookViewId="0">
      <selection sqref="A1:E15"/>
    </sheetView>
  </sheetViews>
  <sheetFormatPr baseColWidth="10" defaultRowHeight="16" x14ac:dyDescent="0.2"/>
  <cols>
    <col min="1" max="1" width="26.1640625" customWidth="1"/>
    <col min="8" max="8" width="23.83203125" customWidth="1"/>
  </cols>
  <sheetData>
    <row r="1" spans="1:9" ht="19" thickBot="1" x14ac:dyDescent="0.25">
      <c r="A1" s="1"/>
      <c r="B1" s="86" t="s">
        <v>122</v>
      </c>
      <c r="C1" s="87" t="s">
        <v>143</v>
      </c>
      <c r="D1" s="87" t="s">
        <v>203</v>
      </c>
      <c r="E1" s="2" t="s">
        <v>294</v>
      </c>
    </row>
    <row r="2" spans="1:9" ht="38" thickTop="1" thickBot="1" x14ac:dyDescent="0.25">
      <c r="A2" s="3" t="s">
        <v>8</v>
      </c>
      <c r="B2" s="88">
        <v>1</v>
      </c>
      <c r="C2" s="89">
        <v>20</v>
      </c>
      <c r="D2" s="89">
        <v>7</v>
      </c>
      <c r="E2" s="4">
        <v>11</v>
      </c>
      <c r="H2" t="s">
        <v>83</v>
      </c>
      <c r="I2">
        <v>11</v>
      </c>
    </row>
    <row r="3" spans="1:9" ht="19" thickBot="1" x14ac:dyDescent="0.25">
      <c r="A3" s="5" t="s">
        <v>1</v>
      </c>
      <c r="B3" s="88">
        <v>2</v>
      </c>
      <c r="C3" s="89">
        <v>1</v>
      </c>
      <c r="D3" s="89">
        <v>1</v>
      </c>
      <c r="E3" s="6">
        <v>7</v>
      </c>
      <c r="H3" t="s">
        <v>1</v>
      </c>
      <c r="I3">
        <v>7</v>
      </c>
    </row>
    <row r="4" spans="1:9" ht="19" thickBot="1" x14ac:dyDescent="0.25">
      <c r="A4" s="5" t="s">
        <v>2</v>
      </c>
      <c r="B4" s="88">
        <v>0</v>
      </c>
      <c r="C4" s="89">
        <v>1</v>
      </c>
      <c r="D4" s="89">
        <v>3</v>
      </c>
      <c r="E4" s="6">
        <v>4</v>
      </c>
      <c r="H4" t="s">
        <v>2</v>
      </c>
      <c r="I4">
        <v>4</v>
      </c>
    </row>
    <row r="5" spans="1:9" ht="37" thickBot="1" x14ac:dyDescent="0.25">
      <c r="A5" s="5" t="s">
        <v>145</v>
      </c>
      <c r="B5" s="88">
        <v>0</v>
      </c>
      <c r="C5" s="89">
        <v>5</v>
      </c>
      <c r="D5" s="89">
        <v>0</v>
      </c>
      <c r="E5" s="6">
        <v>3</v>
      </c>
      <c r="H5" t="s">
        <v>11</v>
      </c>
      <c r="I5">
        <v>3</v>
      </c>
    </row>
    <row r="6" spans="1:9" ht="19" thickBot="1" x14ac:dyDescent="0.25">
      <c r="A6" s="5" t="s">
        <v>4</v>
      </c>
      <c r="B6" s="88">
        <v>0</v>
      </c>
      <c r="C6" s="89">
        <v>2</v>
      </c>
      <c r="D6" s="89">
        <v>0</v>
      </c>
      <c r="E6" s="6">
        <v>2</v>
      </c>
      <c r="H6" t="s">
        <v>84</v>
      </c>
      <c r="I6">
        <v>3</v>
      </c>
    </row>
    <row r="7" spans="1:9" ht="37" thickBot="1" x14ac:dyDescent="0.25">
      <c r="A7" s="5" t="s">
        <v>5</v>
      </c>
      <c r="B7" s="90">
        <v>2</v>
      </c>
      <c r="C7" s="91">
        <v>1</v>
      </c>
      <c r="D7" s="91">
        <v>0</v>
      </c>
      <c r="E7" s="36">
        <v>2</v>
      </c>
      <c r="H7" t="s">
        <v>145</v>
      </c>
      <c r="I7">
        <v>3</v>
      </c>
    </row>
    <row r="8" spans="1:9" ht="37" thickBot="1" x14ac:dyDescent="0.25">
      <c r="A8" s="5" t="s">
        <v>302</v>
      </c>
      <c r="B8" s="88">
        <v>0</v>
      </c>
      <c r="C8" s="89">
        <v>0</v>
      </c>
      <c r="D8" s="89">
        <v>0</v>
      </c>
      <c r="E8" s="6">
        <v>1</v>
      </c>
      <c r="H8" t="s">
        <v>299</v>
      </c>
      <c r="I8">
        <v>2</v>
      </c>
    </row>
    <row r="9" spans="1:9" ht="37" thickBot="1" x14ac:dyDescent="0.25">
      <c r="A9" s="5" t="s">
        <v>9</v>
      </c>
      <c r="B9" s="88">
        <v>0</v>
      </c>
      <c r="C9" s="89">
        <v>0</v>
      </c>
      <c r="D9" s="89">
        <v>3</v>
      </c>
      <c r="E9" s="6">
        <v>0</v>
      </c>
      <c r="H9" t="s">
        <v>300</v>
      </c>
      <c r="I9">
        <v>2</v>
      </c>
    </row>
    <row r="10" spans="1:9" ht="37" thickBot="1" x14ac:dyDescent="0.25">
      <c r="A10" s="5" t="s">
        <v>7</v>
      </c>
      <c r="B10" s="88">
        <v>0</v>
      </c>
      <c r="C10" s="89">
        <v>0</v>
      </c>
      <c r="D10" s="89">
        <v>1</v>
      </c>
      <c r="E10" s="6">
        <v>0</v>
      </c>
      <c r="H10" t="s">
        <v>302</v>
      </c>
      <c r="I10">
        <v>1</v>
      </c>
    </row>
    <row r="11" spans="1:9" ht="37" thickBot="1" x14ac:dyDescent="0.25">
      <c r="A11" s="5" t="s">
        <v>3</v>
      </c>
      <c r="B11" s="90">
        <v>0</v>
      </c>
      <c r="C11" s="91">
        <v>1</v>
      </c>
      <c r="D11" s="91">
        <v>0</v>
      </c>
      <c r="E11" s="36">
        <v>0</v>
      </c>
      <c r="H11" t="s">
        <v>145</v>
      </c>
    </row>
    <row r="12" spans="1:9" ht="37" thickBot="1" x14ac:dyDescent="0.25">
      <c r="A12" s="5" t="s">
        <v>6</v>
      </c>
      <c r="B12" s="90">
        <v>1</v>
      </c>
      <c r="C12" s="91">
        <v>0</v>
      </c>
      <c r="D12" s="91">
        <v>0</v>
      </c>
      <c r="E12" s="36">
        <v>0</v>
      </c>
    </row>
    <row r="13" spans="1:9" ht="19" thickBot="1" x14ac:dyDescent="0.25">
      <c r="A13" s="5" t="s">
        <v>10</v>
      </c>
      <c r="B13" s="88">
        <v>4</v>
      </c>
      <c r="C13" s="89">
        <v>8</v>
      </c>
      <c r="D13" s="89">
        <v>3</v>
      </c>
      <c r="E13" s="6">
        <v>3</v>
      </c>
    </row>
    <row r="14" spans="1:9" ht="19" thickBot="1" x14ac:dyDescent="0.25">
      <c r="A14" s="7" t="s">
        <v>11</v>
      </c>
      <c r="B14" s="92">
        <v>2</v>
      </c>
      <c r="C14" s="93">
        <v>5</v>
      </c>
      <c r="D14" s="93">
        <v>1</v>
      </c>
      <c r="E14" s="8">
        <v>3</v>
      </c>
    </row>
    <row r="15" spans="1:9" ht="20" thickTop="1" thickBot="1" x14ac:dyDescent="0.25">
      <c r="A15" s="9" t="s">
        <v>12</v>
      </c>
      <c r="B15" s="94">
        <v>12</v>
      </c>
      <c r="C15" s="95">
        <v>44</v>
      </c>
      <c r="D15" s="95">
        <v>19</v>
      </c>
      <c r="E15" s="10">
        <v>33</v>
      </c>
    </row>
    <row r="20" spans="1:6" x14ac:dyDescent="0.2">
      <c r="A20" t="s">
        <v>298</v>
      </c>
      <c r="F20" t="s">
        <v>155</v>
      </c>
    </row>
    <row r="21" spans="1:6" x14ac:dyDescent="0.2">
      <c r="A21" t="s">
        <v>151</v>
      </c>
      <c r="C21" t="s">
        <v>152</v>
      </c>
      <c r="D21" t="s">
        <v>153</v>
      </c>
      <c r="E21" t="s">
        <v>154</v>
      </c>
      <c r="F21">
        <v>81.818181818181827</v>
      </c>
    </row>
    <row r="22" spans="1:6" x14ac:dyDescent="0.2">
      <c r="B22" t="s">
        <v>83</v>
      </c>
      <c r="C22">
        <v>11</v>
      </c>
      <c r="D22">
        <v>33.333333333333329</v>
      </c>
      <c r="E22">
        <v>33.333333333333329</v>
      </c>
      <c r="F22">
        <v>21.212121212121211</v>
      </c>
    </row>
    <row r="23" spans="1:6" x14ac:dyDescent="0.2">
      <c r="A23" t="s">
        <v>156</v>
      </c>
      <c r="B23" t="s">
        <v>1</v>
      </c>
      <c r="C23">
        <v>7</v>
      </c>
      <c r="D23">
        <v>21.212121212121211</v>
      </c>
      <c r="E23">
        <v>21.212121212121211</v>
      </c>
      <c r="F23">
        <v>45.454545454545453</v>
      </c>
    </row>
    <row r="24" spans="1:6" x14ac:dyDescent="0.2">
      <c r="B24" t="s">
        <v>2</v>
      </c>
      <c r="C24">
        <v>4</v>
      </c>
      <c r="D24">
        <v>12.121212121212121</v>
      </c>
      <c r="E24">
        <v>12.121212121212121</v>
      </c>
      <c r="F24">
        <v>100</v>
      </c>
    </row>
    <row r="25" spans="1:6" x14ac:dyDescent="0.2">
      <c r="B25" t="s">
        <v>11</v>
      </c>
      <c r="C25">
        <v>3</v>
      </c>
      <c r="D25">
        <v>9.0909090909090917</v>
      </c>
      <c r="E25">
        <v>9.0909090909090917</v>
      </c>
      <c r="F25">
        <v>90.909090909090907</v>
      </c>
    </row>
    <row r="26" spans="1:6" x14ac:dyDescent="0.2">
      <c r="B26" t="s">
        <v>84</v>
      </c>
      <c r="C26">
        <v>3</v>
      </c>
      <c r="D26">
        <v>9.0909090909090917</v>
      </c>
      <c r="E26">
        <v>9.0909090909090917</v>
      </c>
      <c r="F26">
        <v>48.484848484848484</v>
      </c>
    </row>
    <row r="27" spans="1:6" x14ac:dyDescent="0.2">
      <c r="B27" t="s">
        <v>145</v>
      </c>
      <c r="C27">
        <v>3</v>
      </c>
      <c r="D27">
        <v>3.0303030303030303</v>
      </c>
      <c r="E27">
        <v>3.0303030303030303</v>
      </c>
      <c r="F27">
        <v>27.27272727272727</v>
      </c>
    </row>
    <row r="28" spans="1:6" x14ac:dyDescent="0.2">
      <c r="B28" t="s">
        <v>299</v>
      </c>
      <c r="C28">
        <v>2</v>
      </c>
      <c r="D28">
        <v>6.0606060606060606</v>
      </c>
      <c r="E28">
        <v>6.0606060606060606</v>
      </c>
      <c r="F28">
        <v>33.333333333333329</v>
      </c>
    </row>
    <row r="29" spans="1:6" x14ac:dyDescent="0.2">
      <c r="B29" t="s">
        <v>300</v>
      </c>
      <c r="C29">
        <v>2</v>
      </c>
      <c r="D29">
        <v>6.0606060606060606</v>
      </c>
      <c r="E29">
        <v>6.0606060606060606</v>
      </c>
      <c r="F29">
        <v>33.333333333333329</v>
      </c>
    </row>
    <row r="30" spans="1:6" x14ac:dyDescent="0.2">
      <c r="A30" t="s">
        <v>156</v>
      </c>
      <c r="B30" t="s">
        <v>302</v>
      </c>
      <c r="C30">
        <v>1</v>
      </c>
      <c r="D30">
        <v>3.0303030303030303</v>
      </c>
      <c r="E30">
        <v>33.333333333333329</v>
      </c>
      <c r="F30">
        <v>100</v>
      </c>
    </row>
    <row r="31" spans="1:6" x14ac:dyDescent="0.2">
      <c r="B31" t="s">
        <v>145</v>
      </c>
      <c r="D31">
        <v>6.0606060606060606</v>
      </c>
      <c r="E31">
        <v>66.666666666666657</v>
      </c>
    </row>
    <row r="32" spans="1:6" x14ac:dyDescent="0.2">
      <c r="A32" t="s">
        <v>159</v>
      </c>
      <c r="B32" t="s">
        <v>160</v>
      </c>
      <c r="D32">
        <v>90.909090909090907</v>
      </c>
    </row>
    <row r="33" spans="1:6" x14ac:dyDescent="0.2">
      <c r="B33" t="s">
        <v>157</v>
      </c>
      <c r="D33">
        <v>100</v>
      </c>
      <c r="E33">
        <v>100</v>
      </c>
    </row>
    <row r="34" spans="1:6" x14ac:dyDescent="0.2">
      <c r="B34" t="s">
        <v>157</v>
      </c>
      <c r="D34">
        <v>9.0909090909090917</v>
      </c>
      <c r="E34">
        <v>100</v>
      </c>
    </row>
    <row r="36" spans="1:6" x14ac:dyDescent="0.2">
      <c r="A36" t="s">
        <v>301</v>
      </c>
      <c r="F36" t="s">
        <v>155</v>
      </c>
    </row>
    <row r="37" spans="1:6" x14ac:dyDescent="0.2">
      <c r="A37" t="s">
        <v>151</v>
      </c>
      <c r="C37" t="s">
        <v>152</v>
      </c>
      <c r="D37" t="s">
        <v>153</v>
      </c>
      <c r="E37" t="s">
        <v>154</v>
      </c>
    </row>
    <row r="38" spans="1:6" x14ac:dyDescent="0.2">
      <c r="A38" t="s">
        <v>157</v>
      </c>
      <c r="C38">
        <v>33</v>
      </c>
      <c r="D38">
        <v>100</v>
      </c>
    </row>
  </sheetData>
  <sortState xmlns:xlrd2="http://schemas.microsoft.com/office/spreadsheetml/2017/richdata2" ref="A2:E10">
    <sortCondition descending="1" ref="E2:E10"/>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DBBE-9CAF-8049-BF5B-EF886BE68BA0}">
  <dimension ref="A1:H16"/>
  <sheetViews>
    <sheetView workbookViewId="0">
      <selection activeCell="A2" sqref="A2:D9"/>
    </sheetView>
  </sheetViews>
  <sheetFormatPr baseColWidth="10" defaultRowHeight="16" x14ac:dyDescent="0.2"/>
  <sheetData>
    <row r="1" spans="1:8" x14ac:dyDescent="0.2">
      <c r="A1" s="31" t="s">
        <v>42</v>
      </c>
      <c r="B1" t="s">
        <v>85</v>
      </c>
      <c r="C1" t="s">
        <v>86</v>
      </c>
      <c r="D1" t="s">
        <v>87</v>
      </c>
      <c r="E1" t="s">
        <v>147</v>
      </c>
      <c r="H1" t="s">
        <v>148</v>
      </c>
    </row>
    <row r="2" spans="1:8" ht="34" x14ac:dyDescent="0.2">
      <c r="A2" s="32" t="s">
        <v>124</v>
      </c>
      <c r="B2" s="19">
        <v>8.3333333333333315E-2</v>
      </c>
      <c r="C2" s="19">
        <v>8.3333333333333315E-2</v>
      </c>
      <c r="D2" s="19">
        <v>0.75</v>
      </c>
      <c r="E2" s="18">
        <f>SUM(ROUND(Table182[[#This Row],[8]],2),ROUND(Table182[[#This Row],[9]],2),ROUND(Table182[[#This Row],[10]],2))</f>
        <v>0.91</v>
      </c>
      <c r="H2" s="19">
        <f>SUM(Table182[[#This Row],[8]:[10]])</f>
        <v>0.91666666666666663</v>
      </c>
    </row>
    <row r="3" spans="1:8" ht="34" x14ac:dyDescent="0.2">
      <c r="A3" s="32" t="s">
        <v>146</v>
      </c>
      <c r="B3" s="18">
        <v>9.0909090909090925E-2</v>
      </c>
      <c r="C3" s="18">
        <v>0.13636363636363635</v>
      </c>
      <c r="D3" s="18">
        <v>0.70454545454545459</v>
      </c>
      <c r="E3" s="18">
        <f>SUM(ROUND(Table182[[#This Row],[8]],2),ROUND(Table182[[#This Row],[9]],2),ROUND(Table182[[#This Row],[10]],2))</f>
        <v>0.92999999999999994</v>
      </c>
      <c r="H3" s="19">
        <f>SUM(Table182[[#This Row],[8]:[10]])</f>
        <v>0.93181818181818188</v>
      </c>
    </row>
    <row r="4" spans="1:8" ht="34" x14ac:dyDescent="0.2">
      <c r="A4" s="32" t="s">
        <v>194</v>
      </c>
      <c r="B4" s="18">
        <v>5.2631578947368397E-2</v>
      </c>
      <c r="C4" s="18">
        <v>0.10526315789473684</v>
      </c>
      <c r="D4" s="18">
        <v>0.73684210526315785</v>
      </c>
      <c r="E4" s="18">
        <f>SUM(ROUND(Table182[[#This Row],[8]],2),ROUND(Table182[[#This Row],[9]],2),ROUND(Table182[[#This Row],[10]],2))</f>
        <v>0.9</v>
      </c>
      <c r="H4" s="19">
        <f>SUM(Table182[[#This Row],[8]:[10]])</f>
        <v>0.89473684210526305</v>
      </c>
    </row>
    <row r="5" spans="1:8" ht="34" x14ac:dyDescent="0.2">
      <c r="A5" s="32" t="s">
        <v>293</v>
      </c>
      <c r="B5" s="18">
        <v>6.0606060606060608E-2</v>
      </c>
      <c r="C5" s="18">
        <v>0.15151515151515152</v>
      </c>
      <c r="D5" s="18">
        <v>0.69696969696969702</v>
      </c>
      <c r="E5" s="18">
        <f>SUM(ROUND(Table182[[#This Row],[8]],2),ROUND(Table182[[#This Row],[9]],2),ROUND(Table182[[#This Row],[10]],2))</f>
        <v>0.90999999999999992</v>
      </c>
      <c r="H5" s="19">
        <f>SUM(Table182[[#This Row],[8]:[10]])</f>
        <v>0.90909090909090917</v>
      </c>
    </row>
    <row r="6" spans="1:8" ht="34" x14ac:dyDescent="0.2">
      <c r="A6" s="32" t="s">
        <v>124</v>
      </c>
      <c r="B6" s="19">
        <v>8.3333333333333315E-2</v>
      </c>
      <c r="C6" s="19">
        <v>8.3333333333333315E-2</v>
      </c>
      <c r="D6" s="19">
        <v>0.75</v>
      </c>
      <c r="E6" s="18">
        <f>SUM(ROUND(Table182[[#This Row],[8]],2),ROUND(Table182[[#This Row],[9]],2),ROUND(Table182[[#This Row],[10]],2))</f>
        <v>0.91</v>
      </c>
      <c r="H6" s="19">
        <f>SUM(Table182[[#This Row],[8]:[10]])</f>
        <v>0.91666666666666663</v>
      </c>
    </row>
    <row r="7" spans="1:8" ht="34" x14ac:dyDescent="0.2">
      <c r="A7" s="32" t="s">
        <v>146</v>
      </c>
      <c r="B7" s="18">
        <v>2.2727272727272731E-2</v>
      </c>
      <c r="C7" s="18">
        <v>9.0909090909090925E-2</v>
      </c>
      <c r="D7" s="18">
        <v>0.86363636363636365</v>
      </c>
      <c r="E7" s="18">
        <f>SUM(ROUND(Table182[[#This Row],[8]],2),ROUND(Table182[[#This Row],[9]],2),ROUND(Table182[[#This Row],[10]],2))</f>
        <v>0.97</v>
      </c>
      <c r="H7" s="19">
        <f>SUM(Table182[[#This Row],[8]:[10]])</f>
        <v>0.97727272727272729</v>
      </c>
    </row>
    <row r="8" spans="1:8" ht="34" x14ac:dyDescent="0.2">
      <c r="A8" s="32" t="s">
        <v>194</v>
      </c>
      <c r="B8" s="18">
        <v>5.2631578947368418E-2</v>
      </c>
      <c r="C8" s="18"/>
      <c r="D8" s="18">
        <v>0.84210526315789469</v>
      </c>
      <c r="E8" s="18">
        <f>SUM(ROUND(Table182[[#This Row],[8]],2),ROUND(Table182[[#This Row],[9]],2),ROUND(Table182[[#This Row],[10]],2))</f>
        <v>0.89</v>
      </c>
      <c r="H8" s="19">
        <f>SUM(Table182[[#This Row],[8]:[10]])</f>
        <v>0.89473684210526305</v>
      </c>
    </row>
    <row r="9" spans="1:8" ht="34" x14ac:dyDescent="0.2">
      <c r="A9" s="32" t="s">
        <v>293</v>
      </c>
      <c r="B9" s="18"/>
      <c r="C9" s="18">
        <v>9.0909090909090925E-2</v>
      </c>
      <c r="D9" s="18">
        <v>0.84848484848484851</v>
      </c>
      <c r="E9" s="18">
        <f>SUM(ROUND(Table182[[#This Row],[8]],2),ROUND(Table182[[#This Row],[9]],2),ROUND(Table182[[#This Row],[10]],2))</f>
        <v>0.94</v>
      </c>
      <c r="G9" s="18">
        <v>0.01</v>
      </c>
      <c r="H9" s="19">
        <f>SUM(Table182[[#This Row],[8]:[10]])</f>
        <v>0.93939393939393945</v>
      </c>
    </row>
    <row r="16" spans="1:8" x14ac:dyDescent="0.2">
      <c r="B16" s="27"/>
      <c r="C16" s="27"/>
      <c r="D16" s="27"/>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8DF09-71D7-D24F-BD2E-240C33500DB6}">
  <dimension ref="A1:H12"/>
  <sheetViews>
    <sheetView workbookViewId="0">
      <selection activeCell="A2" sqref="A2:D9"/>
    </sheetView>
  </sheetViews>
  <sheetFormatPr baseColWidth="10" defaultRowHeight="16" x14ac:dyDescent="0.2"/>
  <sheetData>
    <row r="1" spans="1:8" x14ac:dyDescent="0.2">
      <c r="A1" s="31" t="s">
        <v>42</v>
      </c>
      <c r="B1" t="s">
        <v>85</v>
      </c>
      <c r="C1" t="s">
        <v>86</v>
      </c>
      <c r="D1" t="s">
        <v>87</v>
      </c>
      <c r="E1" t="s">
        <v>147</v>
      </c>
      <c r="H1" t="s">
        <v>148</v>
      </c>
    </row>
    <row r="2" spans="1:8" ht="34" x14ac:dyDescent="0.2">
      <c r="A2" s="32" t="s">
        <v>124</v>
      </c>
      <c r="B2" s="18"/>
      <c r="C2" s="18">
        <v>0.25</v>
      </c>
      <c r="D2" s="18">
        <v>0.67</v>
      </c>
      <c r="E2" s="18">
        <f t="shared" ref="E2:E9" si="0">SUM(ROUND(B2,2),ROUND(C2,2),ROUND(D2,2))</f>
        <v>0.92</v>
      </c>
      <c r="F2" s="18"/>
      <c r="G2" s="18"/>
      <c r="H2" s="19">
        <f>SUM(B2:D2)</f>
        <v>0.92</v>
      </c>
    </row>
    <row r="3" spans="1:8" ht="34" x14ac:dyDescent="0.2">
      <c r="A3" s="32" t="s">
        <v>146</v>
      </c>
      <c r="B3" s="18"/>
      <c r="C3" s="18">
        <v>0.11363636363636363</v>
      </c>
      <c r="D3" s="18">
        <v>0.86363636363636365</v>
      </c>
      <c r="E3" s="18">
        <f t="shared" si="0"/>
        <v>0.97</v>
      </c>
      <c r="F3" s="18"/>
      <c r="G3" s="18"/>
      <c r="H3" s="19">
        <f t="shared" ref="H3:H8" si="1">SUM(B3:D3)</f>
        <v>0.97727272727272729</v>
      </c>
    </row>
    <row r="4" spans="1:8" ht="34" x14ac:dyDescent="0.2">
      <c r="A4" s="32" t="s">
        <v>194</v>
      </c>
      <c r="B4" s="18"/>
      <c r="C4" s="18">
        <v>5.2631578947368418E-2</v>
      </c>
      <c r="D4" s="18">
        <v>0.78947368421052633</v>
      </c>
      <c r="E4" s="18">
        <f t="shared" si="0"/>
        <v>0.84000000000000008</v>
      </c>
      <c r="F4" s="18"/>
      <c r="G4" s="18"/>
      <c r="H4" s="19">
        <f t="shared" si="1"/>
        <v>0.84210526315789469</v>
      </c>
    </row>
    <row r="5" spans="1:8" ht="34" x14ac:dyDescent="0.2">
      <c r="A5" s="32" t="s">
        <v>293</v>
      </c>
      <c r="B5" s="18">
        <v>9.0909090909090925E-2</v>
      </c>
      <c r="C5" s="18"/>
      <c r="D5" s="18">
        <v>0.81818181818181834</v>
      </c>
      <c r="E5" s="18">
        <f t="shared" si="0"/>
        <v>0.90999999999999992</v>
      </c>
      <c r="F5" s="18"/>
      <c r="G5" s="18"/>
      <c r="H5" s="19">
        <f>SUM(B5:D5)</f>
        <v>0.90909090909090928</v>
      </c>
    </row>
    <row r="6" spans="1:8" ht="34" x14ac:dyDescent="0.2">
      <c r="A6" s="32" t="s">
        <v>124</v>
      </c>
      <c r="B6" s="19">
        <v>0.16666666666666663</v>
      </c>
      <c r="C6" s="19">
        <v>8.3333333333333315E-2</v>
      </c>
      <c r="D6" s="19">
        <v>0.75</v>
      </c>
      <c r="E6" s="18">
        <f t="shared" si="0"/>
        <v>1</v>
      </c>
      <c r="F6" s="18"/>
      <c r="G6" s="18"/>
      <c r="H6" s="19">
        <f t="shared" si="1"/>
        <v>1</v>
      </c>
    </row>
    <row r="7" spans="1:8" ht="34" x14ac:dyDescent="0.2">
      <c r="A7" s="32" t="s">
        <v>146</v>
      </c>
      <c r="B7" s="18">
        <v>2.2727272727272731E-2</v>
      </c>
      <c r="C7" s="18">
        <v>9.0909090909090925E-2</v>
      </c>
      <c r="D7" s="18">
        <v>0.86363636363636365</v>
      </c>
      <c r="E7" s="18">
        <f t="shared" si="0"/>
        <v>0.97</v>
      </c>
      <c r="F7" s="18"/>
      <c r="G7" s="18"/>
      <c r="H7" s="19">
        <f t="shared" si="1"/>
        <v>0.97727272727272729</v>
      </c>
    </row>
    <row r="8" spans="1:8" ht="34" x14ac:dyDescent="0.2">
      <c r="A8" s="32" t="s">
        <v>194</v>
      </c>
      <c r="B8" s="18">
        <v>5.2631578947368418E-2</v>
      </c>
      <c r="C8" s="18"/>
      <c r="D8" s="18">
        <v>0.84210526315789469</v>
      </c>
      <c r="E8" s="18">
        <f t="shared" si="0"/>
        <v>0.89</v>
      </c>
      <c r="F8" s="18"/>
      <c r="G8" s="18"/>
      <c r="H8" s="19">
        <f t="shared" si="1"/>
        <v>0.89473684210526305</v>
      </c>
    </row>
    <row r="9" spans="1:8" ht="34" x14ac:dyDescent="0.2">
      <c r="A9" s="32" t="s">
        <v>293</v>
      </c>
      <c r="B9" s="18">
        <v>3.0303030303030304E-2</v>
      </c>
      <c r="C9" s="18"/>
      <c r="D9" s="18">
        <v>0.87878787878787878</v>
      </c>
      <c r="E9" s="18">
        <f t="shared" si="0"/>
        <v>0.91</v>
      </c>
      <c r="F9" s="18"/>
      <c r="G9" s="18">
        <v>0.01</v>
      </c>
      <c r="H9" s="19">
        <f>SUM(B9:D9)</f>
        <v>0.90909090909090906</v>
      </c>
    </row>
    <row r="12" spans="1:8" x14ac:dyDescent="0.2">
      <c r="G12" s="18">
        <v>0.01</v>
      </c>
    </row>
  </sheetData>
  <phoneticPr fontId="12"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53CD-4D1A-8A46-B29E-C9444E9D0D89}">
  <dimension ref="A1:L22"/>
  <sheetViews>
    <sheetView workbookViewId="0">
      <selection activeCell="A2" sqref="A2:D9"/>
    </sheetView>
  </sheetViews>
  <sheetFormatPr baseColWidth="10" defaultRowHeight="16" x14ac:dyDescent="0.2"/>
  <sheetData>
    <row r="1" spans="1:12" x14ac:dyDescent="0.2">
      <c r="A1" s="52" t="s">
        <v>42</v>
      </c>
      <c r="B1" s="24" t="s">
        <v>85</v>
      </c>
      <c r="C1" s="24" t="s">
        <v>86</v>
      </c>
      <c r="D1" s="24" t="s">
        <v>87</v>
      </c>
      <c r="E1" t="s">
        <v>78</v>
      </c>
    </row>
    <row r="2" spans="1:12" ht="32" x14ac:dyDescent="0.2">
      <c r="A2" s="53" t="s">
        <v>124</v>
      </c>
      <c r="B2" s="26">
        <v>0.08</v>
      </c>
      <c r="C2" s="26"/>
      <c r="D2" s="26">
        <v>0.75</v>
      </c>
      <c r="E2" s="18"/>
    </row>
    <row r="3" spans="1:12" ht="32" x14ac:dyDescent="0.2">
      <c r="A3" s="53" t="s">
        <v>146</v>
      </c>
      <c r="B3" s="18">
        <v>2.2727272727272731E-2</v>
      </c>
      <c r="C3" s="18">
        <v>9.0909090909090925E-2</v>
      </c>
      <c r="D3" s="18">
        <v>0.79545454545454553</v>
      </c>
      <c r="E3" s="18"/>
    </row>
    <row r="4" spans="1:12" ht="32" x14ac:dyDescent="0.2">
      <c r="A4" s="53" t="s">
        <v>194</v>
      </c>
      <c r="B4" s="18">
        <v>0.10526315789473684</v>
      </c>
      <c r="C4" s="18">
        <v>5.2631578947368418E-2</v>
      </c>
      <c r="D4" s="18">
        <v>0.78947368421052633</v>
      </c>
      <c r="E4" s="18"/>
      <c r="H4" s="31"/>
    </row>
    <row r="5" spans="1:12" ht="32" x14ac:dyDescent="0.2">
      <c r="A5" s="53" t="s">
        <v>293</v>
      </c>
      <c r="B5" s="18"/>
      <c r="C5" s="18">
        <v>9.0909090909090925E-2</v>
      </c>
      <c r="D5" s="18">
        <v>0.84848484848484851</v>
      </c>
      <c r="E5" s="18"/>
      <c r="H5" s="32"/>
      <c r="I5" s="18">
        <v>0.01</v>
      </c>
      <c r="J5" s="18"/>
      <c r="K5" s="18"/>
      <c r="L5" s="18"/>
    </row>
    <row r="6" spans="1:12" ht="32" x14ac:dyDescent="0.2">
      <c r="A6" s="53" t="s">
        <v>124</v>
      </c>
      <c r="B6" s="26"/>
      <c r="C6" s="26">
        <v>0.17</v>
      </c>
      <c r="D6" s="26">
        <v>0.75</v>
      </c>
      <c r="E6" s="18"/>
      <c r="H6" s="32"/>
      <c r="I6" s="18"/>
      <c r="J6" s="18"/>
      <c r="K6" s="18"/>
      <c r="L6" s="18"/>
    </row>
    <row r="7" spans="1:12" ht="32" x14ac:dyDescent="0.2">
      <c r="A7" s="53" t="s">
        <v>146</v>
      </c>
      <c r="B7" s="18">
        <v>2.2727272727272731E-2</v>
      </c>
      <c r="C7" s="18">
        <v>6.8181818181818177E-2</v>
      </c>
      <c r="D7" s="18">
        <v>0.86363636363636365</v>
      </c>
      <c r="E7" s="18"/>
      <c r="H7" s="32"/>
      <c r="I7" s="18"/>
      <c r="J7" s="18"/>
      <c r="K7" s="18"/>
      <c r="L7" s="18"/>
    </row>
    <row r="8" spans="1:12" ht="32" x14ac:dyDescent="0.2">
      <c r="A8" s="53" t="s">
        <v>194</v>
      </c>
      <c r="B8" s="18"/>
      <c r="C8" s="18"/>
      <c r="D8" s="18">
        <v>0.84210526315789469</v>
      </c>
      <c r="E8" s="18"/>
      <c r="H8" s="32"/>
      <c r="I8" s="18"/>
      <c r="J8" s="18"/>
      <c r="K8" s="18"/>
      <c r="L8" s="18"/>
    </row>
    <row r="9" spans="1:12" ht="32" x14ac:dyDescent="0.2">
      <c r="A9" s="53" t="s">
        <v>293</v>
      </c>
      <c r="B9" s="18">
        <v>3.0303030303030304E-2</v>
      </c>
      <c r="C9" s="18">
        <v>6.0606060606060608E-2</v>
      </c>
      <c r="D9" s="18">
        <v>0.84848484848484851</v>
      </c>
      <c r="E9" s="18"/>
      <c r="H9" s="32"/>
      <c r="I9" s="18"/>
      <c r="J9" s="18"/>
      <c r="K9" s="18"/>
      <c r="L9" s="18"/>
    </row>
    <row r="14" spans="1:12" x14ac:dyDescent="0.2">
      <c r="A14" s="52" t="s">
        <v>42</v>
      </c>
      <c r="B14" s="24">
        <v>8</v>
      </c>
      <c r="C14" s="24">
        <v>9</v>
      </c>
      <c r="D14" s="24">
        <v>10</v>
      </c>
      <c r="E14" s="24" t="s">
        <v>147</v>
      </c>
      <c r="H14" t="s">
        <v>148</v>
      </c>
    </row>
    <row r="15" spans="1:12" ht="32" x14ac:dyDescent="0.2">
      <c r="A15" s="53" t="s">
        <v>44</v>
      </c>
      <c r="B15" s="26">
        <v>0.06</v>
      </c>
      <c r="C15" s="26">
        <v>0.13</v>
      </c>
      <c r="D15" s="26">
        <v>0.75</v>
      </c>
      <c r="E15" s="26">
        <f>SUM(ROUND(B15,2),ROUND(C15,2),ROUND(D15,2))</f>
        <v>0.94</v>
      </c>
      <c r="H15" s="18">
        <f>SUM(B15:D15)</f>
        <v>0.94</v>
      </c>
    </row>
    <row r="16" spans="1:12" ht="32" x14ac:dyDescent="0.2">
      <c r="A16" s="53" t="s">
        <v>75</v>
      </c>
      <c r="B16" s="26">
        <v>0.04</v>
      </c>
      <c r="C16" s="26">
        <v>0.14000000000000001</v>
      </c>
      <c r="D16" s="26">
        <v>0.71</v>
      </c>
      <c r="E16" s="26">
        <f t="shared" ref="E16:E22" si="0">SUM(ROUND(B16,2),ROUND(C16,2),ROUND(D16,2))</f>
        <v>0.89</v>
      </c>
      <c r="H16" s="18">
        <f t="shared" ref="H16:H22" si="1">SUM(B16:D16)</f>
        <v>0.89</v>
      </c>
    </row>
    <row r="17" spans="1:8" ht="32" x14ac:dyDescent="0.2">
      <c r="A17" s="53" t="s">
        <v>124</v>
      </c>
      <c r="B17" s="26">
        <v>0.08</v>
      </c>
      <c r="C17" s="26"/>
      <c r="D17" s="26">
        <v>0.75</v>
      </c>
      <c r="E17" s="26">
        <f t="shared" si="0"/>
        <v>0.83</v>
      </c>
      <c r="H17" s="18">
        <f t="shared" si="1"/>
        <v>0.83</v>
      </c>
    </row>
    <row r="18" spans="1:8" ht="32" x14ac:dyDescent="0.2">
      <c r="A18" s="53" t="s">
        <v>146</v>
      </c>
      <c r="B18" s="18">
        <v>2.2727272727272731E-2</v>
      </c>
      <c r="C18" s="18">
        <v>9.0909090909090925E-2</v>
      </c>
      <c r="D18" s="18">
        <v>0.79545454545454553</v>
      </c>
      <c r="E18" s="26">
        <f t="shared" si="0"/>
        <v>0.91</v>
      </c>
      <c r="H18" s="18">
        <f t="shared" si="1"/>
        <v>0.90909090909090917</v>
      </c>
    </row>
    <row r="19" spans="1:8" ht="32" x14ac:dyDescent="0.2">
      <c r="A19" s="53" t="s">
        <v>44</v>
      </c>
      <c r="B19" s="26">
        <v>0.06</v>
      </c>
      <c r="C19" s="26">
        <v>0.06</v>
      </c>
      <c r="D19" s="26">
        <v>0.75</v>
      </c>
      <c r="E19" s="26">
        <f t="shared" si="0"/>
        <v>0.87</v>
      </c>
      <c r="H19" s="18">
        <f t="shared" si="1"/>
        <v>0.87</v>
      </c>
    </row>
    <row r="20" spans="1:8" ht="32" x14ac:dyDescent="0.2">
      <c r="A20" s="53" t="s">
        <v>75</v>
      </c>
      <c r="B20" s="26">
        <v>0.04</v>
      </c>
      <c r="C20" s="26">
        <v>0.14000000000000001</v>
      </c>
      <c r="D20" s="26">
        <v>0.64</v>
      </c>
      <c r="E20" s="26">
        <f t="shared" si="0"/>
        <v>0.82000000000000006</v>
      </c>
      <c r="H20" s="18">
        <f t="shared" si="1"/>
        <v>0.82000000000000006</v>
      </c>
    </row>
    <row r="21" spans="1:8" ht="32" x14ac:dyDescent="0.2">
      <c r="A21" s="53" t="s">
        <v>124</v>
      </c>
      <c r="B21" s="26"/>
      <c r="C21" s="26">
        <v>0.17</v>
      </c>
      <c r="D21" s="26">
        <v>0.75</v>
      </c>
      <c r="E21" s="26">
        <f t="shared" si="0"/>
        <v>0.92</v>
      </c>
      <c r="H21" s="18">
        <f t="shared" si="1"/>
        <v>0.92</v>
      </c>
    </row>
    <row r="22" spans="1:8" ht="32" x14ac:dyDescent="0.2">
      <c r="A22" s="53" t="s">
        <v>146</v>
      </c>
      <c r="B22" s="18">
        <v>2.2727272727272731E-2</v>
      </c>
      <c r="C22" s="18">
        <v>6.8181818181818177E-2</v>
      </c>
      <c r="D22" s="18">
        <v>0.86363636363636365</v>
      </c>
      <c r="E22" s="26">
        <f t="shared" si="0"/>
        <v>0.95</v>
      </c>
      <c r="G22" s="18">
        <v>0.01</v>
      </c>
      <c r="H22" s="18">
        <f t="shared" si="1"/>
        <v>0.95454545454545459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4878-909E-8F4B-B784-2F747A3F057E}">
  <dimension ref="A1:G11"/>
  <sheetViews>
    <sheetView workbookViewId="0">
      <selection sqref="A1:E4"/>
    </sheetView>
  </sheetViews>
  <sheetFormatPr baseColWidth="10" defaultRowHeight="16" x14ac:dyDescent="0.2"/>
  <sheetData>
    <row r="1" spans="1:7" ht="34" x14ac:dyDescent="0.2">
      <c r="A1" t="s">
        <v>42</v>
      </c>
      <c r="B1" s="17" t="s">
        <v>75</v>
      </c>
      <c r="C1" s="17" t="s">
        <v>124</v>
      </c>
      <c r="D1" s="17" t="s">
        <v>146</v>
      </c>
      <c r="E1" s="17" t="s">
        <v>194</v>
      </c>
    </row>
    <row r="2" spans="1:7" x14ac:dyDescent="0.2">
      <c r="A2" t="s">
        <v>88</v>
      </c>
      <c r="B2" s="19">
        <v>0.5</v>
      </c>
      <c r="C2" s="19">
        <v>0.33333333333333326</v>
      </c>
      <c r="D2" s="18">
        <v>0.3636363636363637</v>
      </c>
      <c r="E2" s="18">
        <v>0.47368421052631576</v>
      </c>
    </row>
    <row r="3" spans="1:7" x14ac:dyDescent="0.2">
      <c r="A3" t="s">
        <v>89</v>
      </c>
      <c r="B3" s="19">
        <v>0.10714285714285714</v>
      </c>
      <c r="C3" s="19">
        <v>8.3333333333333315E-2</v>
      </c>
      <c r="D3" s="18">
        <v>0</v>
      </c>
      <c r="E3" s="18">
        <v>0</v>
      </c>
    </row>
    <row r="4" spans="1:7" x14ac:dyDescent="0.2">
      <c r="A4" t="s">
        <v>92</v>
      </c>
      <c r="B4" s="19">
        <v>0.39285714285714285</v>
      </c>
      <c r="C4" s="19">
        <v>0.58333333333333337</v>
      </c>
      <c r="D4" s="18">
        <v>0.63636363636363635</v>
      </c>
      <c r="E4" s="18">
        <v>0.52631578947368418</v>
      </c>
    </row>
    <row r="5" spans="1:7" x14ac:dyDescent="0.2">
      <c r="A5" s="24"/>
      <c r="B5" s="26"/>
      <c r="C5" s="26"/>
      <c r="D5" s="26"/>
      <c r="E5" s="26"/>
    </row>
    <row r="6" spans="1:7" x14ac:dyDescent="0.2">
      <c r="A6" s="24"/>
      <c r="B6" s="26"/>
      <c r="C6" s="26"/>
      <c r="D6" s="26"/>
      <c r="E6" s="26"/>
    </row>
    <row r="8" spans="1:7" ht="34" x14ac:dyDescent="0.2">
      <c r="A8" t="s">
        <v>42</v>
      </c>
      <c r="B8" s="17" t="s">
        <v>44</v>
      </c>
      <c r="C8" s="17" t="s">
        <v>75</v>
      </c>
      <c r="D8" s="17" t="s">
        <v>124</v>
      </c>
      <c r="E8" s="17" t="s">
        <v>146</v>
      </c>
    </row>
    <row r="9" spans="1:7" x14ac:dyDescent="0.2">
      <c r="A9" t="s">
        <v>88</v>
      </c>
      <c r="B9" s="18">
        <v>0.81</v>
      </c>
      <c r="C9" s="19">
        <v>0.5</v>
      </c>
      <c r="D9" s="19">
        <v>0.33333333333333326</v>
      </c>
      <c r="E9" s="18">
        <v>0.3636363636363637</v>
      </c>
    </row>
    <row r="10" spans="1:7" x14ac:dyDescent="0.2">
      <c r="A10" t="s">
        <v>89</v>
      </c>
      <c r="B10" s="18">
        <v>0.06</v>
      </c>
      <c r="C10" s="19">
        <v>0.10714285714285714</v>
      </c>
      <c r="D10" s="19">
        <v>8.3333333333333315E-2</v>
      </c>
      <c r="E10" s="18"/>
    </row>
    <row r="11" spans="1:7" x14ac:dyDescent="0.2">
      <c r="A11" t="s">
        <v>92</v>
      </c>
      <c r="B11" s="18">
        <v>0.13</v>
      </c>
      <c r="C11" s="19">
        <v>0.39285714285714285</v>
      </c>
      <c r="D11" s="19">
        <v>0.58333333333333337</v>
      </c>
      <c r="E11" s="18">
        <v>0.63636363636363635</v>
      </c>
      <c r="G11" s="18">
        <v>0.01</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403E-C33E-364A-965F-2DBF383A268A}">
  <dimension ref="A1:N33"/>
  <sheetViews>
    <sheetView workbookViewId="0">
      <selection activeCell="R4" sqref="R4"/>
    </sheetView>
  </sheetViews>
  <sheetFormatPr baseColWidth="10" defaultRowHeight="16" x14ac:dyDescent="0.2"/>
  <sheetData>
    <row r="1" spans="1:14" ht="32" x14ac:dyDescent="0.2">
      <c r="A1" t="s">
        <v>42</v>
      </c>
      <c r="B1" s="25" t="s">
        <v>204</v>
      </c>
      <c r="C1" s="25" t="s">
        <v>205</v>
      </c>
      <c r="D1" s="25" t="s">
        <v>206</v>
      </c>
      <c r="E1" s="25" t="s">
        <v>207</v>
      </c>
      <c r="M1">
        <v>1</v>
      </c>
      <c r="N1">
        <v>1</v>
      </c>
    </row>
    <row r="2" spans="1:14" x14ac:dyDescent="0.2">
      <c r="A2" t="s">
        <v>88</v>
      </c>
      <c r="B2" s="26">
        <v>0.77</v>
      </c>
      <c r="C2" s="26">
        <v>0.8</v>
      </c>
      <c r="D2" s="26">
        <v>0.94</v>
      </c>
      <c r="E2" s="18">
        <v>0.66666666666666663</v>
      </c>
      <c r="M2">
        <v>1</v>
      </c>
      <c r="N2">
        <v>1</v>
      </c>
    </row>
    <row r="3" spans="1:14" x14ac:dyDescent="0.2">
      <c r="A3" t="s">
        <v>89</v>
      </c>
      <c r="B3" s="26">
        <v>0.24</v>
      </c>
      <c r="C3" s="26">
        <v>0.2</v>
      </c>
      <c r="D3" s="26">
        <v>0.06</v>
      </c>
      <c r="E3" s="18">
        <v>0.33333333333333331</v>
      </c>
      <c r="G3" s="18">
        <v>0.01</v>
      </c>
    </row>
    <row r="4" spans="1:14" x14ac:dyDescent="0.2">
      <c r="M4">
        <v>1</v>
      </c>
      <c r="N4">
        <v>1</v>
      </c>
    </row>
    <row r="5" spans="1:14" x14ac:dyDescent="0.2">
      <c r="M5">
        <v>1</v>
      </c>
      <c r="N5">
        <v>1</v>
      </c>
    </row>
    <row r="6" spans="1:14" x14ac:dyDescent="0.2">
      <c r="M6">
        <v>1</v>
      </c>
    </row>
    <row r="8" spans="1:14" x14ac:dyDescent="0.2">
      <c r="M8">
        <v>1</v>
      </c>
      <c r="N8">
        <v>2</v>
      </c>
    </row>
    <row r="9" spans="1:14" x14ac:dyDescent="0.2">
      <c r="M9">
        <v>2</v>
      </c>
      <c r="N9">
        <v>2</v>
      </c>
    </row>
    <row r="10" spans="1:14" x14ac:dyDescent="0.2">
      <c r="M10">
        <v>1</v>
      </c>
      <c r="N10">
        <v>1</v>
      </c>
    </row>
    <row r="11" spans="1:14" x14ac:dyDescent="0.2">
      <c r="M11">
        <v>1</v>
      </c>
      <c r="N11">
        <v>1</v>
      </c>
    </row>
    <row r="12" spans="1:14" x14ac:dyDescent="0.2">
      <c r="M12">
        <v>1</v>
      </c>
      <c r="N12">
        <v>1</v>
      </c>
    </row>
    <row r="13" spans="1:14" x14ac:dyDescent="0.2">
      <c r="M13">
        <v>1</v>
      </c>
      <c r="N13">
        <v>1</v>
      </c>
    </row>
    <row r="14" spans="1:14" x14ac:dyDescent="0.2">
      <c r="M14">
        <v>1</v>
      </c>
      <c r="N14">
        <v>1</v>
      </c>
    </row>
    <row r="15" spans="1:14" x14ac:dyDescent="0.2">
      <c r="M15">
        <v>1</v>
      </c>
      <c r="N15">
        <v>1</v>
      </c>
    </row>
    <row r="19" spans="13:14" x14ac:dyDescent="0.2">
      <c r="M19">
        <v>1</v>
      </c>
      <c r="N19">
        <v>1</v>
      </c>
    </row>
    <row r="20" spans="13:14" x14ac:dyDescent="0.2">
      <c r="M20">
        <v>1</v>
      </c>
      <c r="N20">
        <v>1</v>
      </c>
    </row>
    <row r="21" spans="13:14" x14ac:dyDescent="0.2">
      <c r="M21">
        <v>2</v>
      </c>
      <c r="N21">
        <v>2</v>
      </c>
    </row>
    <row r="22" spans="13:14" x14ac:dyDescent="0.2">
      <c r="M22">
        <v>2</v>
      </c>
      <c r="N22">
        <v>1</v>
      </c>
    </row>
    <row r="23" spans="13:14" x14ac:dyDescent="0.2">
      <c r="M23">
        <v>1</v>
      </c>
      <c r="N23">
        <v>1</v>
      </c>
    </row>
    <row r="24" spans="13:14" x14ac:dyDescent="0.2">
      <c r="M24">
        <v>1</v>
      </c>
    </row>
    <row r="25" spans="13:14" x14ac:dyDescent="0.2">
      <c r="N25">
        <v>2</v>
      </c>
    </row>
    <row r="27" spans="13:14" x14ac:dyDescent="0.2">
      <c r="M27">
        <v>2</v>
      </c>
      <c r="N27">
        <v>2</v>
      </c>
    </row>
    <row r="28" spans="13:14" x14ac:dyDescent="0.2">
      <c r="M28">
        <v>1</v>
      </c>
      <c r="N28">
        <v>1</v>
      </c>
    </row>
    <row r="29" spans="13:14" x14ac:dyDescent="0.2">
      <c r="M29">
        <v>1</v>
      </c>
      <c r="N29">
        <v>1</v>
      </c>
    </row>
    <row r="30" spans="13:14" x14ac:dyDescent="0.2">
      <c r="M30">
        <v>1</v>
      </c>
      <c r="N30">
        <v>1</v>
      </c>
    </row>
    <row r="32" spans="13:14" x14ac:dyDescent="0.2">
      <c r="M32">
        <v>1</v>
      </c>
      <c r="N32">
        <v>1</v>
      </c>
    </row>
    <row r="33" spans="13:14" x14ac:dyDescent="0.2">
      <c r="M33">
        <v>1</v>
      </c>
      <c r="N33">
        <v>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6047-D3EE-2F49-95CF-53AE52D78543}">
  <dimension ref="A1:K24"/>
  <sheetViews>
    <sheetView workbookViewId="0">
      <selection sqref="A1:E8"/>
    </sheetView>
  </sheetViews>
  <sheetFormatPr baseColWidth="10" defaultRowHeight="16" x14ac:dyDescent="0.2"/>
  <sheetData>
    <row r="1" spans="1:11" ht="24" thickBot="1" x14ac:dyDescent="0.25">
      <c r="A1" s="54"/>
      <c r="B1" s="16" t="s">
        <v>122</v>
      </c>
      <c r="C1" s="16" t="s">
        <v>143</v>
      </c>
      <c r="D1" s="16" t="s">
        <v>203</v>
      </c>
      <c r="E1" s="16" t="s">
        <v>294</v>
      </c>
    </row>
    <row r="2" spans="1:11" ht="110" thickTop="1" thickBot="1" x14ac:dyDescent="0.25">
      <c r="A2" s="96" t="s">
        <v>91</v>
      </c>
      <c r="B2" s="97">
        <v>0</v>
      </c>
      <c r="C2" s="97">
        <v>0</v>
      </c>
      <c r="D2" s="97">
        <v>2</v>
      </c>
      <c r="E2" s="97">
        <v>2</v>
      </c>
      <c r="J2" s="17" t="s">
        <v>91</v>
      </c>
      <c r="K2" s="17">
        <v>2</v>
      </c>
    </row>
    <row r="3" spans="1:11" ht="69" thickBot="1" x14ac:dyDescent="0.25">
      <c r="A3" s="5" t="s">
        <v>90</v>
      </c>
      <c r="B3" s="6">
        <v>0</v>
      </c>
      <c r="C3" s="6">
        <v>0</v>
      </c>
      <c r="D3" s="6">
        <v>0</v>
      </c>
      <c r="E3" s="6">
        <v>2</v>
      </c>
      <c r="J3" s="17" t="s">
        <v>303</v>
      </c>
      <c r="K3" s="17">
        <v>2</v>
      </c>
    </row>
    <row r="4" spans="1:11" ht="91" thickBot="1" x14ac:dyDescent="0.25">
      <c r="A4" s="5" t="s">
        <v>208</v>
      </c>
      <c r="B4" s="6">
        <v>0</v>
      </c>
      <c r="C4" s="6">
        <v>0</v>
      </c>
      <c r="D4" s="6">
        <v>1</v>
      </c>
      <c r="E4" s="6">
        <v>1</v>
      </c>
      <c r="J4" s="17" t="s">
        <v>305</v>
      </c>
      <c r="K4" s="17">
        <v>1</v>
      </c>
    </row>
    <row r="5" spans="1:11" ht="73" thickBot="1" x14ac:dyDescent="0.25">
      <c r="A5" s="5" t="s">
        <v>305</v>
      </c>
      <c r="B5" s="6">
        <v>0</v>
      </c>
      <c r="C5" s="6">
        <v>0</v>
      </c>
      <c r="D5" s="6">
        <v>0</v>
      </c>
      <c r="E5" s="6">
        <v>1</v>
      </c>
      <c r="J5" s="17" t="s">
        <v>208</v>
      </c>
      <c r="K5" s="17">
        <v>1</v>
      </c>
    </row>
    <row r="6" spans="1:11" ht="73" thickBot="1" x14ac:dyDescent="0.25">
      <c r="A6" s="5" t="s">
        <v>125</v>
      </c>
      <c r="B6" s="6">
        <v>1</v>
      </c>
      <c r="C6" s="6">
        <v>1</v>
      </c>
      <c r="D6" s="6">
        <v>0</v>
      </c>
      <c r="E6" s="6">
        <v>0</v>
      </c>
    </row>
    <row r="7" spans="1:11" ht="19" thickBot="1" x14ac:dyDescent="0.25">
      <c r="A7" s="7" t="s">
        <v>132</v>
      </c>
      <c r="B7" s="8">
        <v>0</v>
      </c>
      <c r="C7" s="8">
        <v>0</v>
      </c>
      <c r="D7" s="8">
        <v>1</v>
      </c>
      <c r="E7" s="8">
        <v>0</v>
      </c>
    </row>
    <row r="8" spans="1:11" ht="20" thickTop="1" thickBot="1" x14ac:dyDescent="0.25">
      <c r="A8" s="9" t="s">
        <v>12</v>
      </c>
      <c r="B8" s="10">
        <v>1</v>
      </c>
      <c r="C8" s="10">
        <v>1</v>
      </c>
      <c r="D8" s="10">
        <v>4</v>
      </c>
      <c r="E8" s="10">
        <v>6</v>
      </c>
    </row>
    <row r="12" spans="1:11" x14ac:dyDescent="0.2">
      <c r="A12" t="s">
        <v>156</v>
      </c>
      <c r="B12" t="s">
        <v>91</v>
      </c>
      <c r="C12">
        <v>2</v>
      </c>
      <c r="D12">
        <v>6.0606060606060606</v>
      </c>
      <c r="E12">
        <v>50</v>
      </c>
      <c r="F12">
        <v>50</v>
      </c>
    </row>
    <row r="13" spans="1:11" x14ac:dyDescent="0.2">
      <c r="B13" t="s">
        <v>303</v>
      </c>
      <c r="C13">
        <v>2</v>
      </c>
      <c r="D13">
        <v>6.0606060606060606</v>
      </c>
      <c r="E13">
        <v>50</v>
      </c>
      <c r="F13">
        <v>100</v>
      </c>
    </row>
    <row r="14" spans="1:11" x14ac:dyDescent="0.2">
      <c r="B14" t="s">
        <v>305</v>
      </c>
      <c r="C14">
        <v>1</v>
      </c>
      <c r="D14">
        <v>12.121212121212121</v>
      </c>
      <c r="E14">
        <v>100</v>
      </c>
    </row>
    <row r="15" spans="1:11" x14ac:dyDescent="0.2">
      <c r="A15" t="s">
        <v>159</v>
      </c>
      <c r="B15" t="s">
        <v>208</v>
      </c>
      <c r="C15">
        <v>1</v>
      </c>
      <c r="D15">
        <v>87.878787878787875</v>
      </c>
    </row>
    <row r="16" spans="1:11" x14ac:dyDescent="0.2">
      <c r="A16" t="s">
        <v>157</v>
      </c>
      <c r="B16" t="s">
        <v>160</v>
      </c>
      <c r="C16">
        <v>29</v>
      </c>
      <c r="D16">
        <v>100</v>
      </c>
    </row>
    <row r="17" spans="1:6" x14ac:dyDescent="0.2">
      <c r="B17" t="s">
        <v>160</v>
      </c>
      <c r="C17">
        <v>31</v>
      </c>
    </row>
    <row r="18" spans="1:6" x14ac:dyDescent="0.2">
      <c r="A18" t="s">
        <v>304</v>
      </c>
      <c r="B18" t="s">
        <v>157</v>
      </c>
      <c r="C18">
        <v>4</v>
      </c>
    </row>
    <row r="19" spans="1:6" x14ac:dyDescent="0.2">
      <c r="A19" t="s">
        <v>151</v>
      </c>
      <c r="B19" t="s">
        <v>157</v>
      </c>
      <c r="C19">
        <v>2</v>
      </c>
      <c r="D19" t="s">
        <v>153</v>
      </c>
      <c r="E19" t="s">
        <v>154</v>
      </c>
      <c r="F19" t="s">
        <v>155</v>
      </c>
    </row>
    <row r="20" spans="1:6" x14ac:dyDescent="0.2">
      <c r="A20" t="s">
        <v>156</v>
      </c>
      <c r="C20">
        <v>33</v>
      </c>
      <c r="D20">
        <v>3.0303030303030303</v>
      </c>
      <c r="E20">
        <v>50</v>
      </c>
      <c r="F20">
        <v>50</v>
      </c>
    </row>
    <row r="21" spans="1:6" x14ac:dyDescent="0.2">
      <c r="D21">
        <v>3.0303030303030303</v>
      </c>
      <c r="E21">
        <v>50</v>
      </c>
      <c r="F21">
        <v>100</v>
      </c>
    </row>
    <row r="22" spans="1:6" x14ac:dyDescent="0.2">
      <c r="D22">
        <v>6.0606060606060606</v>
      </c>
      <c r="E22">
        <v>100</v>
      </c>
    </row>
    <row r="23" spans="1:6" x14ac:dyDescent="0.2">
      <c r="A23" t="s">
        <v>159</v>
      </c>
      <c r="C23" t="s">
        <v>152</v>
      </c>
      <c r="D23">
        <v>93.939393939393938</v>
      </c>
    </row>
    <row r="24" spans="1:6" x14ac:dyDescent="0.2">
      <c r="A24" t="s">
        <v>157</v>
      </c>
      <c r="C24">
        <v>33</v>
      </c>
      <c r="D24">
        <v>100</v>
      </c>
    </row>
  </sheetData>
  <sortState xmlns:xlrd2="http://schemas.microsoft.com/office/spreadsheetml/2017/richdata2" ref="A2:E6">
    <sortCondition descending="1" ref="E2:E6"/>
  </sortState>
  <pageMargins left="0.7" right="0.7" top="0.75" bottom="0.75" header="0.3" footer="0.3"/>
  <pageSetup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B6A5D-CD33-FA42-AC80-0DD67F8D91A0}">
  <dimension ref="A1:H9"/>
  <sheetViews>
    <sheetView workbookViewId="0">
      <selection sqref="A1:D9"/>
    </sheetView>
  </sheetViews>
  <sheetFormatPr baseColWidth="10" defaultRowHeight="16" x14ac:dyDescent="0.2"/>
  <sheetData>
    <row r="1" spans="1:8" x14ac:dyDescent="0.2">
      <c r="A1" s="31" t="s">
        <v>42</v>
      </c>
      <c r="B1" t="s">
        <v>85</v>
      </c>
      <c r="C1" t="s">
        <v>86</v>
      </c>
      <c r="D1" t="s">
        <v>87</v>
      </c>
    </row>
    <row r="2" spans="1:8" ht="34" x14ac:dyDescent="0.2">
      <c r="A2" s="32" t="s">
        <v>124</v>
      </c>
      <c r="B2" s="18"/>
      <c r="C2" s="18"/>
      <c r="D2" s="18">
        <v>0.92</v>
      </c>
    </row>
    <row r="3" spans="1:8" ht="34" x14ac:dyDescent="0.2">
      <c r="A3" s="32" t="s">
        <v>146</v>
      </c>
      <c r="B3" s="18">
        <v>2.2727272727272731E-2</v>
      </c>
      <c r="C3" s="18">
        <v>6.8181818181818177E-2</v>
      </c>
      <c r="D3" s="18">
        <v>0.90909090909090906</v>
      </c>
    </row>
    <row r="4" spans="1:8" ht="34" x14ac:dyDescent="0.2">
      <c r="A4" s="32" t="s">
        <v>194</v>
      </c>
      <c r="B4" s="18">
        <v>0.10526315789473684</v>
      </c>
      <c r="C4" s="18"/>
      <c r="D4" s="18">
        <v>0.84210526315789469</v>
      </c>
      <c r="H4" s="18">
        <v>0.01</v>
      </c>
    </row>
    <row r="5" spans="1:8" ht="34" x14ac:dyDescent="0.2">
      <c r="A5" s="32" t="s">
        <v>293</v>
      </c>
      <c r="B5" s="18"/>
      <c r="C5" s="18">
        <v>9.0909090909090925E-2</v>
      </c>
      <c r="D5" s="18">
        <v>0.84848484848484851</v>
      </c>
    </row>
    <row r="6" spans="1:8" ht="34" x14ac:dyDescent="0.2">
      <c r="A6" s="32" t="s">
        <v>124</v>
      </c>
      <c r="B6" s="18">
        <v>0.08</v>
      </c>
      <c r="C6" s="18"/>
      <c r="D6" s="18">
        <v>0.83</v>
      </c>
    </row>
    <row r="7" spans="1:8" ht="34" x14ac:dyDescent="0.2">
      <c r="A7" s="32" t="s">
        <v>146</v>
      </c>
      <c r="B7" s="18"/>
      <c r="C7" s="18">
        <v>4.5454545454545463E-2</v>
      </c>
      <c r="D7" s="18">
        <v>0.93181818181818177</v>
      </c>
    </row>
    <row r="8" spans="1:8" ht="34" x14ac:dyDescent="0.2">
      <c r="A8" s="32" t="s">
        <v>194</v>
      </c>
      <c r="B8" s="18">
        <v>0.10526315789473684</v>
      </c>
      <c r="C8" s="18"/>
      <c r="D8" s="18">
        <v>0.78947368421052633</v>
      </c>
    </row>
    <row r="9" spans="1:8" ht="34" x14ac:dyDescent="0.2">
      <c r="A9" s="32" t="s">
        <v>293</v>
      </c>
      <c r="B9" s="18">
        <v>9.0909090909090925E-2</v>
      </c>
      <c r="C9" s="18">
        <v>6.0606060606060608E-2</v>
      </c>
      <c r="D9" s="18">
        <v>0.78787878787878785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1901F-BE96-454D-813B-618F8EA5B896}">
  <dimension ref="A1:G9"/>
  <sheetViews>
    <sheetView workbookViewId="0">
      <selection sqref="A1:D9"/>
    </sheetView>
  </sheetViews>
  <sheetFormatPr baseColWidth="10" defaultRowHeight="16" x14ac:dyDescent="0.2"/>
  <sheetData>
    <row r="1" spans="1:7" x14ac:dyDescent="0.2">
      <c r="A1" s="31" t="s">
        <v>42</v>
      </c>
      <c r="B1" t="s">
        <v>85</v>
      </c>
      <c r="C1" t="s">
        <v>86</v>
      </c>
      <c r="D1" t="s">
        <v>87</v>
      </c>
    </row>
    <row r="2" spans="1:7" ht="34" x14ac:dyDescent="0.2">
      <c r="A2" s="32" t="s">
        <v>126</v>
      </c>
      <c r="B2" s="18"/>
      <c r="C2" s="18">
        <v>0.08</v>
      </c>
      <c r="D2" s="18">
        <v>0.75</v>
      </c>
    </row>
    <row r="3" spans="1:7" ht="34" x14ac:dyDescent="0.2">
      <c r="A3" s="32" t="s">
        <v>149</v>
      </c>
      <c r="B3" s="18">
        <v>2.2727272727272731E-2</v>
      </c>
      <c r="C3" s="18">
        <v>4.5454545454545463E-2</v>
      </c>
      <c r="D3" s="18">
        <v>0.90909090909090906</v>
      </c>
    </row>
    <row r="4" spans="1:7" ht="34" x14ac:dyDescent="0.2">
      <c r="A4" s="32" t="s">
        <v>209</v>
      </c>
      <c r="B4" s="18">
        <v>0.10526315789473684</v>
      </c>
      <c r="C4" s="18"/>
      <c r="D4" s="18">
        <v>0.78947368421052633</v>
      </c>
    </row>
    <row r="5" spans="1:7" ht="34" x14ac:dyDescent="0.2">
      <c r="A5" s="32" t="s">
        <v>306</v>
      </c>
      <c r="B5" s="18"/>
      <c r="C5" s="18">
        <v>9.0909090909090925E-2</v>
      </c>
      <c r="D5" s="18">
        <v>0.84848484848484851</v>
      </c>
      <c r="G5" s="18">
        <v>0.01</v>
      </c>
    </row>
    <row r="6" spans="1:7" ht="34" x14ac:dyDescent="0.2">
      <c r="A6" s="32" t="s">
        <v>126</v>
      </c>
      <c r="B6" s="18"/>
      <c r="C6" s="18">
        <v>0.08</v>
      </c>
      <c r="D6" s="18">
        <v>0.83</v>
      </c>
    </row>
    <row r="7" spans="1:7" ht="34" x14ac:dyDescent="0.2">
      <c r="A7" s="32" t="s">
        <v>149</v>
      </c>
      <c r="B7" s="18">
        <v>2.2727272727272731E-2</v>
      </c>
      <c r="C7" s="18">
        <v>6.8181818181818177E-2</v>
      </c>
      <c r="D7" s="18">
        <v>0.88636363636363646</v>
      </c>
    </row>
    <row r="8" spans="1:7" ht="34" x14ac:dyDescent="0.2">
      <c r="A8" s="32" t="s">
        <v>209</v>
      </c>
      <c r="B8" s="18">
        <v>0.10526315789473684</v>
      </c>
      <c r="C8" s="18">
        <v>5.2631578947368418E-2</v>
      </c>
      <c r="D8" s="18">
        <v>0.78947368421052633</v>
      </c>
    </row>
    <row r="9" spans="1:7" ht="34" x14ac:dyDescent="0.2">
      <c r="A9" s="32" t="s">
        <v>306</v>
      </c>
      <c r="B9" s="18">
        <v>3.0303030303030304E-2</v>
      </c>
      <c r="C9" s="18">
        <v>3.0303030303030304E-2</v>
      </c>
      <c r="D9" s="18">
        <v>0.87878787878787878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BAF5-9DCE-2243-B6EC-ECA2805714AD}">
  <dimension ref="A1:G5"/>
  <sheetViews>
    <sheetView workbookViewId="0">
      <selection sqref="A1:D5"/>
    </sheetView>
  </sheetViews>
  <sheetFormatPr baseColWidth="10" defaultRowHeight="16" x14ac:dyDescent="0.2"/>
  <sheetData>
    <row r="1" spans="1:7" x14ac:dyDescent="0.2">
      <c r="A1" s="52" t="s">
        <v>42</v>
      </c>
      <c r="B1" s="24">
        <v>8</v>
      </c>
      <c r="C1" s="24">
        <v>9</v>
      </c>
      <c r="D1" s="24">
        <v>10</v>
      </c>
    </row>
    <row r="2" spans="1:7" ht="32" x14ac:dyDescent="0.2">
      <c r="A2" s="53" t="s">
        <v>126</v>
      </c>
      <c r="B2" s="98"/>
      <c r="C2" s="98">
        <v>0.06</v>
      </c>
      <c r="D2" s="98">
        <v>0.81</v>
      </c>
    </row>
    <row r="3" spans="1:7" ht="32" x14ac:dyDescent="0.2">
      <c r="A3" s="53" t="s">
        <v>149</v>
      </c>
      <c r="B3" s="98">
        <v>0.03</v>
      </c>
      <c r="C3" s="98">
        <v>0.08</v>
      </c>
      <c r="D3" s="98">
        <v>0.85</v>
      </c>
    </row>
    <row r="4" spans="1:7" ht="32" x14ac:dyDescent="0.2">
      <c r="A4" s="53" t="s">
        <v>209</v>
      </c>
      <c r="B4" s="26">
        <v>0.11</v>
      </c>
      <c r="C4" s="26"/>
      <c r="D4" s="26">
        <v>0.84</v>
      </c>
    </row>
    <row r="5" spans="1:7" ht="32" x14ac:dyDescent="0.2">
      <c r="A5" s="53" t="s">
        <v>306</v>
      </c>
      <c r="B5" s="18">
        <v>3.0303030303030304E-2</v>
      </c>
      <c r="C5" s="18">
        <v>9.0909090909090925E-2</v>
      </c>
      <c r="D5" s="18">
        <v>0.78787878787878785</v>
      </c>
      <c r="G5" s="18">
        <v>0.01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8DC9F-DD3E-2A49-BA7B-525FCA3FA094}">
  <dimension ref="A1:H4"/>
  <sheetViews>
    <sheetView workbookViewId="0">
      <selection sqref="A1:E4"/>
    </sheetView>
  </sheetViews>
  <sheetFormatPr baseColWidth="10" defaultRowHeight="16" x14ac:dyDescent="0.2"/>
  <sheetData>
    <row r="1" spans="1:8" ht="34" x14ac:dyDescent="0.2">
      <c r="A1" t="s">
        <v>42</v>
      </c>
      <c r="B1" s="17" t="s">
        <v>75</v>
      </c>
      <c r="C1" s="17" t="s">
        <v>124</v>
      </c>
      <c r="D1" s="17" t="s">
        <v>146</v>
      </c>
      <c r="E1" s="17" t="s">
        <v>194</v>
      </c>
    </row>
    <row r="2" spans="1:8" x14ac:dyDescent="0.2">
      <c r="A2" t="s">
        <v>88</v>
      </c>
      <c r="B2" s="19">
        <v>0.35714285714285715</v>
      </c>
      <c r="C2" s="19">
        <v>0.5</v>
      </c>
      <c r="D2" s="18">
        <v>0.15909090909090909</v>
      </c>
      <c r="E2" s="18">
        <v>0.36842105263157893</v>
      </c>
      <c r="H2" s="18">
        <v>0.01</v>
      </c>
    </row>
    <row r="3" spans="1:8" x14ac:dyDescent="0.2">
      <c r="A3" t="s">
        <v>89</v>
      </c>
      <c r="B3" s="19">
        <v>0.14285714285714285</v>
      </c>
      <c r="C3" s="19">
        <v>8.3333333333333315E-2</v>
      </c>
      <c r="D3" s="18">
        <v>2.2727272727272731E-2</v>
      </c>
      <c r="E3" s="18">
        <v>5.2631578947368418E-2</v>
      </c>
    </row>
    <row r="4" spans="1:8" x14ac:dyDescent="0.2">
      <c r="A4" t="s">
        <v>92</v>
      </c>
      <c r="B4" s="19">
        <v>0.5</v>
      </c>
      <c r="C4" s="19">
        <v>0.41666666666666674</v>
      </c>
      <c r="D4" s="18">
        <v>0.81818181818181834</v>
      </c>
      <c r="E4" s="18">
        <v>0.57894736842105265</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5BE84-BDAB-7042-BFEA-4F1B1BC03721}">
  <dimension ref="A1:G8"/>
  <sheetViews>
    <sheetView workbookViewId="0">
      <selection sqref="A1:E5"/>
    </sheetView>
  </sheetViews>
  <sheetFormatPr baseColWidth="10" defaultRowHeight="16" x14ac:dyDescent="0.2"/>
  <sheetData>
    <row r="1" spans="1:7" ht="34" x14ac:dyDescent="0.2">
      <c r="A1" t="s">
        <v>42</v>
      </c>
      <c r="B1" s="17" t="s">
        <v>94</v>
      </c>
      <c r="C1" s="17" t="s">
        <v>127</v>
      </c>
      <c r="D1" s="17" t="s">
        <v>210</v>
      </c>
      <c r="E1" s="17" t="s">
        <v>211</v>
      </c>
    </row>
    <row r="2" spans="1:7" x14ac:dyDescent="0.2">
      <c r="A2" t="s">
        <v>88</v>
      </c>
      <c r="B2" s="19">
        <v>0.5714285714285714</v>
      </c>
      <c r="C2" s="19">
        <v>0.8571428571428571</v>
      </c>
      <c r="D2" s="18">
        <v>0.875</v>
      </c>
      <c r="E2" s="18">
        <v>0.875</v>
      </c>
    </row>
    <row r="3" spans="1:7" x14ac:dyDescent="0.2">
      <c r="A3" t="s">
        <v>89</v>
      </c>
      <c r="B3" s="19">
        <v>0.2857142857142857</v>
      </c>
      <c r="C3" s="19">
        <v>0.14285714285714285</v>
      </c>
      <c r="D3" s="18">
        <v>0.125</v>
      </c>
      <c r="E3" s="18">
        <v>0.125</v>
      </c>
    </row>
    <row r="4" spans="1:7" x14ac:dyDescent="0.2">
      <c r="A4" t="s">
        <v>92</v>
      </c>
      <c r="B4" s="19">
        <v>0.14000000000000001</v>
      </c>
      <c r="C4" s="19">
        <v>0</v>
      </c>
      <c r="D4" s="19">
        <v>0</v>
      </c>
      <c r="E4" s="18">
        <v>0</v>
      </c>
    </row>
    <row r="5" spans="1:7" x14ac:dyDescent="0.2">
      <c r="A5" t="s">
        <v>93</v>
      </c>
      <c r="B5" s="18">
        <v>0</v>
      </c>
      <c r="C5" s="19">
        <v>0</v>
      </c>
      <c r="D5" s="19">
        <v>0</v>
      </c>
      <c r="E5" s="18">
        <v>0</v>
      </c>
      <c r="G5" s="18">
        <v>0.01</v>
      </c>
    </row>
    <row r="6" spans="1:7" x14ac:dyDescent="0.2">
      <c r="B6" s="18"/>
      <c r="C6" s="18"/>
      <c r="D6" s="19"/>
      <c r="E6" s="19"/>
    </row>
    <row r="7" spans="1:7" x14ac:dyDescent="0.2">
      <c r="B7" s="18"/>
      <c r="C7" s="18"/>
      <c r="D7" s="19"/>
      <c r="E7" s="19"/>
    </row>
    <row r="8" spans="1:7" x14ac:dyDescent="0.2">
      <c r="B8" s="18"/>
      <c r="C8" s="18"/>
      <c r="D8" s="18"/>
      <c r="E8" s="1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8FB0-6148-4A42-A567-3DDE20DFC0E9}">
  <dimension ref="A1"/>
  <sheetViews>
    <sheetView workbookViewId="0"/>
  </sheetViews>
  <sheetFormatPr baseColWidth="10" defaultRowHeight="16" x14ac:dyDescent="0.2"/>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DF63-CE7C-7D4D-8E85-845943040FBE}">
  <dimension ref="A1:O52"/>
  <sheetViews>
    <sheetView workbookViewId="0">
      <selection sqref="A1:E16"/>
    </sheetView>
  </sheetViews>
  <sheetFormatPr baseColWidth="10" defaultRowHeight="16" x14ac:dyDescent="0.2"/>
  <cols>
    <col min="1" max="1" width="34.1640625" customWidth="1"/>
    <col min="2" max="2" width="39.33203125" customWidth="1"/>
    <col min="7" max="7" width="10.83203125" customWidth="1"/>
    <col min="8" max="8" width="38.6640625" customWidth="1"/>
  </cols>
  <sheetData>
    <row r="1" spans="1:15" ht="19" thickBot="1" x14ac:dyDescent="0.25">
      <c r="A1" s="99"/>
      <c r="B1" s="16" t="s">
        <v>122</v>
      </c>
      <c r="C1" s="16" t="s">
        <v>143</v>
      </c>
      <c r="D1" s="16" t="s">
        <v>203</v>
      </c>
      <c r="E1" s="16" t="s">
        <v>294</v>
      </c>
      <c r="K1" s="99"/>
      <c r="L1" s="16"/>
      <c r="M1" s="16"/>
      <c r="N1" s="16"/>
      <c r="O1" s="16"/>
    </row>
    <row r="2" spans="1:15" ht="38" thickTop="1" thickBot="1" x14ac:dyDescent="0.25">
      <c r="A2" s="96" t="s">
        <v>13</v>
      </c>
      <c r="B2" s="100">
        <v>6</v>
      </c>
      <c r="C2" s="100">
        <v>23</v>
      </c>
      <c r="D2" s="100">
        <v>9</v>
      </c>
      <c r="E2" s="100">
        <v>8</v>
      </c>
      <c r="H2" t="s">
        <v>131</v>
      </c>
      <c r="I2">
        <v>8</v>
      </c>
      <c r="K2" s="96"/>
      <c r="L2" s="100"/>
      <c r="M2" s="100"/>
      <c r="N2" s="100"/>
      <c r="O2" s="100"/>
    </row>
    <row r="3" spans="1:15" ht="19" thickBot="1" x14ac:dyDescent="0.25">
      <c r="A3" s="40" t="s">
        <v>23</v>
      </c>
      <c r="B3" s="37">
        <v>1</v>
      </c>
      <c r="C3" s="37">
        <v>6</v>
      </c>
      <c r="D3" s="37">
        <v>4</v>
      </c>
      <c r="E3" s="37">
        <v>4</v>
      </c>
      <c r="H3" t="s">
        <v>16</v>
      </c>
      <c r="I3">
        <v>7</v>
      </c>
      <c r="K3" s="38"/>
      <c r="L3" s="39"/>
      <c r="M3" s="39"/>
      <c r="N3" s="39"/>
      <c r="O3" s="39"/>
    </row>
    <row r="4" spans="1:15" ht="37" thickBot="1" x14ac:dyDescent="0.25">
      <c r="A4" s="38" t="s">
        <v>16</v>
      </c>
      <c r="B4" s="39">
        <v>0</v>
      </c>
      <c r="C4" s="39">
        <v>7</v>
      </c>
      <c r="D4" s="39">
        <v>3</v>
      </c>
      <c r="E4" s="39">
        <v>7</v>
      </c>
      <c r="H4" t="s">
        <v>14</v>
      </c>
      <c r="I4">
        <v>6</v>
      </c>
      <c r="K4" s="38"/>
      <c r="L4" s="39"/>
      <c r="M4" s="39"/>
      <c r="N4" s="39"/>
      <c r="O4" s="39"/>
    </row>
    <row r="5" spans="1:15" ht="19" thickBot="1" x14ac:dyDescent="0.25">
      <c r="A5" s="38" t="s">
        <v>15</v>
      </c>
      <c r="B5" s="39">
        <v>0</v>
      </c>
      <c r="C5" s="39">
        <v>6</v>
      </c>
      <c r="D5" s="39">
        <v>3</v>
      </c>
      <c r="E5" s="39">
        <v>5</v>
      </c>
      <c r="H5" t="s">
        <v>15</v>
      </c>
      <c r="I5">
        <v>5</v>
      </c>
      <c r="K5" s="38"/>
      <c r="L5" s="39"/>
      <c r="M5" s="39"/>
      <c r="N5" s="39"/>
      <c r="O5" s="39"/>
    </row>
    <row r="6" spans="1:15" ht="19" thickBot="1" x14ac:dyDescent="0.25">
      <c r="A6" s="5" t="s">
        <v>17</v>
      </c>
      <c r="B6" s="35">
        <v>0</v>
      </c>
      <c r="C6" s="35">
        <v>3</v>
      </c>
      <c r="D6" s="35">
        <v>2</v>
      </c>
      <c r="E6" s="35">
        <v>2</v>
      </c>
      <c r="H6" t="s">
        <v>132</v>
      </c>
      <c r="I6">
        <v>4</v>
      </c>
      <c r="K6" s="40"/>
      <c r="L6" s="37"/>
      <c r="M6" s="37"/>
      <c r="N6" s="37"/>
      <c r="O6" s="37"/>
    </row>
    <row r="7" spans="1:15" ht="19" thickBot="1" x14ac:dyDescent="0.25">
      <c r="A7" s="38" t="s">
        <v>19</v>
      </c>
      <c r="B7" s="39">
        <v>1</v>
      </c>
      <c r="C7" s="39">
        <v>0</v>
      </c>
      <c r="D7" s="39">
        <v>1</v>
      </c>
      <c r="E7" s="39">
        <v>2</v>
      </c>
      <c r="H7" t="s">
        <v>11</v>
      </c>
      <c r="I7">
        <v>2</v>
      </c>
      <c r="K7" s="5"/>
      <c r="L7" s="35"/>
      <c r="M7" s="35"/>
      <c r="N7" s="35"/>
      <c r="O7" s="35"/>
    </row>
    <row r="8" spans="1:15" ht="19" thickBot="1" x14ac:dyDescent="0.25">
      <c r="A8" s="5" t="s">
        <v>130</v>
      </c>
      <c r="B8" s="35">
        <v>0</v>
      </c>
      <c r="C8" s="35">
        <v>0</v>
      </c>
      <c r="D8" s="35">
        <v>1</v>
      </c>
      <c r="E8" s="35"/>
      <c r="H8" t="s">
        <v>19</v>
      </c>
      <c r="I8">
        <v>2</v>
      </c>
      <c r="K8" s="38"/>
      <c r="L8" s="39"/>
      <c r="M8" s="39"/>
      <c r="N8" s="39"/>
      <c r="O8" s="39"/>
    </row>
    <row r="9" spans="1:15" ht="37" thickBot="1" x14ac:dyDescent="0.25">
      <c r="A9" s="38" t="s">
        <v>14</v>
      </c>
      <c r="B9" s="39">
        <v>2</v>
      </c>
      <c r="C9" s="39">
        <v>3</v>
      </c>
      <c r="D9" s="39">
        <v>0</v>
      </c>
      <c r="E9" s="39">
        <v>6</v>
      </c>
      <c r="H9" t="s">
        <v>17</v>
      </c>
      <c r="I9">
        <v>2</v>
      </c>
      <c r="K9" s="38"/>
      <c r="L9" s="39"/>
      <c r="M9" s="39"/>
      <c r="N9" s="39"/>
      <c r="O9" s="39"/>
    </row>
    <row r="10" spans="1:15" ht="19" thickBot="1" x14ac:dyDescent="0.25">
      <c r="A10" s="38" t="s">
        <v>18</v>
      </c>
      <c r="B10" s="39">
        <v>1</v>
      </c>
      <c r="C10" s="39">
        <v>0</v>
      </c>
      <c r="D10" s="39">
        <v>0</v>
      </c>
      <c r="E10" s="39">
        <v>0</v>
      </c>
      <c r="H10" t="s">
        <v>22</v>
      </c>
      <c r="I10">
        <v>1</v>
      </c>
      <c r="K10" s="38"/>
      <c r="L10" s="39"/>
      <c r="M10" s="39"/>
      <c r="N10" s="39"/>
      <c r="O10" s="39"/>
    </row>
    <row r="11" spans="1:15" ht="37" thickBot="1" x14ac:dyDescent="0.25">
      <c r="A11" s="38" t="s">
        <v>20</v>
      </c>
      <c r="B11" s="39">
        <v>1</v>
      </c>
      <c r="C11" s="39">
        <v>0</v>
      </c>
      <c r="D11" s="39">
        <v>0</v>
      </c>
      <c r="E11" s="39">
        <v>1</v>
      </c>
      <c r="H11" t="s">
        <v>21</v>
      </c>
      <c r="I11">
        <v>1</v>
      </c>
      <c r="K11" s="38"/>
      <c r="L11" s="39"/>
      <c r="M11" s="39"/>
      <c r="N11" s="39"/>
    </row>
    <row r="12" spans="1:15" ht="19" thickBot="1" x14ac:dyDescent="0.25">
      <c r="A12" s="113" t="s">
        <v>22</v>
      </c>
      <c r="B12" s="114">
        <v>0</v>
      </c>
      <c r="C12" s="114">
        <v>0</v>
      </c>
      <c r="D12" s="114">
        <v>0</v>
      </c>
      <c r="E12">
        <v>1</v>
      </c>
      <c r="H12" t="s">
        <v>20</v>
      </c>
      <c r="I12">
        <v>1</v>
      </c>
      <c r="K12" s="5"/>
      <c r="L12" s="35"/>
      <c r="M12" s="35"/>
      <c r="N12" s="35"/>
      <c r="O12" s="35"/>
    </row>
    <row r="13" spans="1:15" ht="37" thickBot="1" x14ac:dyDescent="0.25">
      <c r="A13" s="5" t="s">
        <v>128</v>
      </c>
      <c r="B13" s="39">
        <v>0</v>
      </c>
      <c r="C13" s="39">
        <v>0</v>
      </c>
      <c r="D13" s="39">
        <v>0</v>
      </c>
      <c r="E13" s="39"/>
      <c r="K13" s="38"/>
      <c r="L13" s="39"/>
      <c r="M13" s="39"/>
      <c r="N13" s="39"/>
      <c r="O13" s="39"/>
    </row>
    <row r="14" spans="1:15" ht="19" thickBot="1" x14ac:dyDescent="0.25">
      <c r="A14" s="38" t="s">
        <v>21</v>
      </c>
      <c r="B14" s="39">
        <v>0</v>
      </c>
      <c r="C14" s="39">
        <v>0</v>
      </c>
      <c r="D14" s="39">
        <v>0</v>
      </c>
      <c r="E14" s="39">
        <v>1</v>
      </c>
      <c r="K14" s="5"/>
      <c r="L14" s="39"/>
      <c r="M14" s="39"/>
      <c r="N14" s="39"/>
      <c r="O14" s="39"/>
    </row>
    <row r="15" spans="1:15" ht="19" thickBot="1" x14ac:dyDescent="0.25">
      <c r="A15" s="7" t="s">
        <v>11</v>
      </c>
      <c r="B15" s="45">
        <v>1</v>
      </c>
      <c r="C15" s="45">
        <v>0</v>
      </c>
      <c r="D15" s="45">
        <v>0</v>
      </c>
      <c r="E15" s="45">
        <v>2</v>
      </c>
      <c r="K15" s="7"/>
      <c r="L15" s="45"/>
      <c r="M15" s="45"/>
      <c r="N15" s="45"/>
      <c r="O15" s="45"/>
    </row>
    <row r="16" spans="1:15" ht="20" thickTop="1" thickBot="1" x14ac:dyDescent="0.25">
      <c r="A16" s="9" t="s">
        <v>12</v>
      </c>
      <c r="B16" s="10">
        <v>12</v>
      </c>
      <c r="C16" s="10">
        <v>50</v>
      </c>
      <c r="D16" s="10">
        <v>24</v>
      </c>
      <c r="E16" s="10">
        <v>33</v>
      </c>
      <c r="K16" s="9"/>
      <c r="L16" s="10"/>
      <c r="M16" s="10"/>
      <c r="N16" s="10"/>
      <c r="O16" s="10"/>
    </row>
    <row r="22" spans="1:6" ht="17" x14ac:dyDescent="0.2">
      <c r="B22" t="s">
        <v>131</v>
      </c>
      <c r="C22">
        <v>8</v>
      </c>
      <c r="D22" s="106">
        <v>6.0606060606060606</v>
      </c>
      <c r="E22" s="106">
        <v>6.0606060606060606</v>
      </c>
      <c r="F22" s="106">
        <v>100</v>
      </c>
    </row>
    <row r="23" spans="1:6" ht="36" x14ac:dyDescent="0.2">
      <c r="B23" s="109" t="s">
        <v>16</v>
      </c>
      <c r="C23" s="111">
        <v>7</v>
      </c>
      <c r="D23" s="106">
        <v>3.0303030303030303</v>
      </c>
      <c r="E23" s="106">
        <v>3.0303030303030303</v>
      </c>
      <c r="F23" s="106">
        <v>78.787878787878782</v>
      </c>
    </row>
    <row r="24" spans="1:6" ht="37" thickBot="1" x14ac:dyDescent="0.25">
      <c r="B24" s="101" t="s">
        <v>14</v>
      </c>
      <c r="C24" s="106">
        <v>6</v>
      </c>
      <c r="D24" s="106">
        <v>6.0606060606060606</v>
      </c>
      <c r="E24" s="106">
        <v>6.0606060606060606</v>
      </c>
      <c r="F24" s="106">
        <v>45.454545454545453</v>
      </c>
    </row>
    <row r="25" spans="1:6" ht="19" thickBot="1" x14ac:dyDescent="0.25">
      <c r="B25" s="108" t="s">
        <v>15</v>
      </c>
      <c r="C25" s="60">
        <v>5</v>
      </c>
      <c r="D25" s="104">
        <v>3.0303030303030303</v>
      </c>
      <c r="E25" s="104">
        <v>25</v>
      </c>
      <c r="F25" s="104">
        <v>100</v>
      </c>
    </row>
    <row r="26" spans="1:6" ht="20" thickTop="1" thickBot="1" x14ac:dyDescent="0.25">
      <c r="B26" s="110" t="s">
        <v>132</v>
      </c>
      <c r="C26" s="61">
        <v>4</v>
      </c>
      <c r="D26" s="34">
        <v>3.0303030303030303</v>
      </c>
      <c r="E26" s="34">
        <v>3.0303030303030303</v>
      </c>
      <c r="F26" s="34">
        <v>81.818181818181827</v>
      </c>
    </row>
    <row r="27" spans="1:6" ht="19" thickBot="1" x14ac:dyDescent="0.25">
      <c r="B27" s="38" t="s">
        <v>11</v>
      </c>
      <c r="C27" s="39">
        <v>2</v>
      </c>
      <c r="D27" s="39">
        <v>12.121212121212121</v>
      </c>
      <c r="E27" s="39">
        <v>12.121212121212121</v>
      </c>
      <c r="F27" s="39">
        <v>93.939393939393938</v>
      </c>
    </row>
    <row r="28" spans="1:6" ht="19" thickBot="1" x14ac:dyDescent="0.25">
      <c r="B28" s="5" t="s">
        <v>19</v>
      </c>
      <c r="C28" s="39">
        <v>2</v>
      </c>
      <c r="D28" s="37">
        <v>18.181818181818183</v>
      </c>
      <c r="E28" s="37">
        <v>18.181818181818183</v>
      </c>
      <c r="F28" s="37">
        <v>39.393939393939391</v>
      </c>
    </row>
    <row r="29" spans="1:6" ht="19" thickBot="1" x14ac:dyDescent="0.25">
      <c r="A29" t="s">
        <v>156</v>
      </c>
      <c r="B29" s="5" t="s">
        <v>17</v>
      </c>
      <c r="C29" s="35">
        <v>2</v>
      </c>
      <c r="D29" s="35">
        <v>3.0303030303030303</v>
      </c>
      <c r="E29" s="35">
        <v>25</v>
      </c>
      <c r="F29" s="35">
        <v>25</v>
      </c>
    </row>
    <row r="30" spans="1:6" ht="19" thickBot="1" x14ac:dyDescent="0.25">
      <c r="B30" s="38" t="s">
        <v>22</v>
      </c>
      <c r="C30" s="39">
        <v>1</v>
      </c>
      <c r="D30" s="37">
        <v>12.121212121212121</v>
      </c>
      <c r="E30" s="37">
        <v>12.121212121212121</v>
      </c>
      <c r="F30" s="37">
        <v>57.575757575757578</v>
      </c>
    </row>
    <row r="31" spans="1:6" ht="17" thickBot="1" x14ac:dyDescent="0.25">
      <c r="B31" s="102" t="s">
        <v>21</v>
      </c>
      <c r="C31" s="102">
        <v>1</v>
      </c>
      <c r="D31" s="102">
        <v>3.0303030303030303</v>
      </c>
      <c r="E31" s="102">
        <v>50</v>
      </c>
      <c r="F31" s="102">
        <v>100</v>
      </c>
    </row>
    <row r="32" spans="1:6" ht="37" thickBot="1" x14ac:dyDescent="0.25">
      <c r="B32" s="5" t="s">
        <v>20</v>
      </c>
      <c r="C32" s="35">
        <v>1</v>
      </c>
      <c r="D32" s="39">
        <v>15.151515151515152</v>
      </c>
      <c r="E32" s="39">
        <v>15.151515151515152</v>
      </c>
      <c r="F32" s="39">
        <v>72.727272727272734</v>
      </c>
    </row>
    <row r="33" spans="1:6" ht="37" thickBot="1" x14ac:dyDescent="0.25">
      <c r="B33" s="5" t="s">
        <v>16</v>
      </c>
      <c r="C33" s="35"/>
      <c r="D33" s="102">
        <v>3.0303030303030303</v>
      </c>
      <c r="E33" s="102">
        <v>25</v>
      </c>
      <c r="F33" s="102">
        <v>50</v>
      </c>
    </row>
    <row r="34" spans="1:6" ht="18" thickBot="1" x14ac:dyDescent="0.25">
      <c r="B34" s="102" t="s">
        <v>15</v>
      </c>
      <c r="C34" s="102"/>
      <c r="D34" s="35">
        <v>3.0303030303030303</v>
      </c>
      <c r="E34" s="35">
        <v>3.0303030303030303</v>
      </c>
      <c r="F34" s="35">
        <v>75.757575757575751</v>
      </c>
    </row>
    <row r="35" spans="1:6" ht="17" thickBot="1" x14ac:dyDescent="0.25">
      <c r="B35" s="102" t="s">
        <v>14</v>
      </c>
      <c r="C35" s="102"/>
      <c r="D35" s="102">
        <v>3.0303030303030303</v>
      </c>
      <c r="E35" s="102">
        <v>25</v>
      </c>
      <c r="F35" s="102">
        <v>75</v>
      </c>
    </row>
    <row r="36" spans="1:6" ht="17" thickBot="1" x14ac:dyDescent="0.25">
      <c r="A36" t="s">
        <v>156</v>
      </c>
      <c r="B36" s="102" t="s">
        <v>17</v>
      </c>
      <c r="C36" s="102"/>
      <c r="D36" s="102">
        <v>21.212121212121211</v>
      </c>
      <c r="E36" s="102">
        <v>21.212121212121211</v>
      </c>
      <c r="F36" s="102">
        <v>21.212121212121211</v>
      </c>
    </row>
    <row r="37" spans="1:6" ht="17" thickBot="1" x14ac:dyDescent="0.25">
      <c r="A37" t="s">
        <v>156</v>
      </c>
      <c r="B37" s="104" t="s">
        <v>131</v>
      </c>
      <c r="C37" s="104"/>
      <c r="D37" s="104">
        <v>3.0303030303030303</v>
      </c>
      <c r="E37" s="104">
        <v>50</v>
      </c>
      <c r="F37" s="104">
        <v>50</v>
      </c>
    </row>
    <row r="38" spans="1:6" ht="18" thickTop="1" thickBot="1" x14ac:dyDescent="0.25">
      <c r="A38" t="s">
        <v>159</v>
      </c>
      <c r="B38" s="105" t="s">
        <v>160</v>
      </c>
      <c r="C38" s="105"/>
      <c r="D38" s="105">
        <v>87.878787878787875</v>
      </c>
      <c r="E38" s="105"/>
      <c r="F38" s="105"/>
    </row>
    <row r="39" spans="1:6" x14ac:dyDescent="0.2">
      <c r="A39" t="s">
        <v>159</v>
      </c>
      <c r="B39" t="s">
        <v>160</v>
      </c>
      <c r="D39">
        <v>93.939393939393938</v>
      </c>
    </row>
    <row r="40" spans="1:6" ht="18" x14ac:dyDescent="0.2">
      <c r="B40" s="101" t="s">
        <v>157</v>
      </c>
      <c r="C40" s="106"/>
      <c r="D40" s="106">
        <v>100</v>
      </c>
      <c r="E40" s="106">
        <v>100</v>
      </c>
      <c r="F40" s="106"/>
    </row>
    <row r="41" spans="1:6" x14ac:dyDescent="0.2">
      <c r="B41" t="s">
        <v>157</v>
      </c>
      <c r="D41">
        <v>12.121212121212121</v>
      </c>
      <c r="E41">
        <v>100</v>
      </c>
    </row>
    <row r="42" spans="1:6" x14ac:dyDescent="0.2">
      <c r="B42" t="s">
        <v>157</v>
      </c>
      <c r="D42">
        <v>6.0606060606060606</v>
      </c>
      <c r="E42">
        <v>100</v>
      </c>
    </row>
    <row r="43" spans="1:6" x14ac:dyDescent="0.2">
      <c r="A43" t="s">
        <v>150</v>
      </c>
    </row>
    <row r="44" spans="1:6" x14ac:dyDescent="0.2">
      <c r="A44" t="s">
        <v>151</v>
      </c>
      <c r="C44" t="s">
        <v>152</v>
      </c>
      <c r="D44" t="s">
        <v>153</v>
      </c>
      <c r="E44" t="s">
        <v>154</v>
      </c>
      <c r="F44" t="s">
        <v>155</v>
      </c>
    </row>
    <row r="45" spans="1:6" ht="17" x14ac:dyDescent="0.2">
      <c r="B45" s="103"/>
      <c r="C45" s="106"/>
      <c r="D45" s="106"/>
      <c r="E45" s="106"/>
      <c r="F45" s="106"/>
    </row>
    <row r="46" spans="1:6" ht="17" x14ac:dyDescent="0.2">
      <c r="A46" t="s">
        <v>158</v>
      </c>
      <c r="B46" s="101"/>
      <c r="C46" s="106"/>
      <c r="D46" s="106"/>
      <c r="E46" s="106"/>
      <c r="F46" s="106"/>
    </row>
    <row r="47" spans="1:6" ht="36" x14ac:dyDescent="0.2">
      <c r="A47" t="s">
        <v>151</v>
      </c>
      <c r="B47" s="103"/>
      <c r="C47" s="107" t="s">
        <v>152</v>
      </c>
      <c r="D47" s="107" t="s">
        <v>153</v>
      </c>
      <c r="E47" s="107" t="s">
        <v>154</v>
      </c>
      <c r="F47" s="107" t="s">
        <v>155</v>
      </c>
    </row>
    <row r="48" spans="1:6" x14ac:dyDescent="0.2">
      <c r="A48" t="s">
        <v>157</v>
      </c>
      <c r="C48">
        <v>33</v>
      </c>
      <c r="D48">
        <v>100</v>
      </c>
    </row>
    <row r="50" spans="1:6" x14ac:dyDescent="0.2">
      <c r="A50" t="s">
        <v>158</v>
      </c>
    </row>
    <row r="51" spans="1:6" x14ac:dyDescent="0.2">
      <c r="A51" t="s">
        <v>151</v>
      </c>
      <c r="C51" t="s">
        <v>152</v>
      </c>
      <c r="D51" t="s">
        <v>153</v>
      </c>
      <c r="E51" t="s">
        <v>154</v>
      </c>
      <c r="F51" t="s">
        <v>155</v>
      </c>
    </row>
    <row r="52" spans="1:6" x14ac:dyDescent="0.2">
      <c r="A52" t="s">
        <v>157</v>
      </c>
      <c r="C52">
        <v>33</v>
      </c>
      <c r="D52">
        <v>100</v>
      </c>
    </row>
  </sheetData>
  <sortState xmlns:xlrd2="http://schemas.microsoft.com/office/spreadsheetml/2017/richdata2" ref="A2:E14">
    <sortCondition descending="1" ref="E2:E14"/>
  </sortState>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E9CD-D0CE-8D4A-B253-6081297F1BD9}">
  <dimension ref="A3:E5"/>
  <sheetViews>
    <sheetView workbookViewId="0">
      <selection activeCell="A3" sqref="A3:E5"/>
    </sheetView>
  </sheetViews>
  <sheetFormatPr baseColWidth="10" defaultRowHeight="16" x14ac:dyDescent="0.2"/>
  <sheetData>
    <row r="3" spans="1:5" ht="34" x14ac:dyDescent="0.2">
      <c r="A3" t="s">
        <v>42</v>
      </c>
      <c r="B3" s="17" t="s">
        <v>43</v>
      </c>
      <c r="C3" s="17" t="s">
        <v>44</v>
      </c>
      <c r="D3" s="17" t="s">
        <v>75</v>
      </c>
      <c r="E3" s="17" t="s">
        <v>124</v>
      </c>
    </row>
    <row r="4" spans="1:5" x14ac:dyDescent="0.2">
      <c r="A4" t="s">
        <v>88</v>
      </c>
      <c r="B4" s="19">
        <v>1</v>
      </c>
      <c r="C4" s="19">
        <v>1</v>
      </c>
      <c r="D4" s="19">
        <v>1</v>
      </c>
      <c r="E4" s="19">
        <v>1</v>
      </c>
    </row>
    <row r="5" spans="1:5" x14ac:dyDescent="0.2">
      <c r="A5" t="s">
        <v>89</v>
      </c>
      <c r="B5" s="19">
        <v>0</v>
      </c>
      <c r="C5" s="19">
        <v>0</v>
      </c>
      <c r="D5" s="19">
        <v>0</v>
      </c>
      <c r="E5" s="19">
        <v>0</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87201-7A9D-CD4F-B082-E00AA6D332C7}">
  <dimension ref="A1:H13"/>
  <sheetViews>
    <sheetView workbookViewId="0">
      <selection sqref="A1:D5"/>
    </sheetView>
  </sheetViews>
  <sheetFormatPr baseColWidth="10" defaultRowHeight="16" x14ac:dyDescent="0.2"/>
  <sheetData>
    <row r="1" spans="1:8" x14ac:dyDescent="0.2">
      <c r="A1" t="s">
        <v>42</v>
      </c>
      <c r="B1" t="s">
        <v>85</v>
      </c>
      <c r="C1" t="s">
        <v>86</v>
      </c>
      <c r="D1" t="s">
        <v>87</v>
      </c>
      <c r="E1" t="s">
        <v>78</v>
      </c>
    </row>
    <row r="2" spans="1:8" ht="34" x14ac:dyDescent="0.2">
      <c r="A2" s="17" t="s">
        <v>124</v>
      </c>
      <c r="B2" s="19">
        <v>0.33333333333333326</v>
      </c>
      <c r="C2" s="19">
        <v>8.3333333333333315E-2</v>
      </c>
      <c r="D2" s="19">
        <v>0.41666666666666674</v>
      </c>
      <c r="E2" s="18">
        <f>Table134[[#This Row],[8]]+Table134[[#This Row],[9]]+Table134[[#This Row],[10]]</f>
        <v>0.83333333333333326</v>
      </c>
    </row>
    <row r="3" spans="1:8" ht="34" x14ac:dyDescent="0.2">
      <c r="A3" s="17" t="s">
        <v>146</v>
      </c>
      <c r="B3" s="18">
        <v>9.0909090909090925E-2</v>
      </c>
      <c r="C3" s="18">
        <v>0.11363636363636363</v>
      </c>
      <c r="D3" s="18">
        <v>0.52272727272727271</v>
      </c>
      <c r="E3" s="18">
        <f>Table134[[#This Row],[8]]+Table134[[#This Row],[9]]+Table134[[#This Row],[10]]</f>
        <v>0.72727272727272729</v>
      </c>
    </row>
    <row r="4" spans="1:8" ht="34" x14ac:dyDescent="0.2">
      <c r="A4" s="17" t="s">
        <v>194</v>
      </c>
      <c r="B4" s="18"/>
      <c r="C4" s="18">
        <v>0.1111111111111111</v>
      </c>
      <c r="D4" s="18">
        <v>0.55555555555555558</v>
      </c>
      <c r="E4" s="18">
        <f>Table134[[#This Row],[8]]+Table134[[#This Row],[9]]+Table134[[#This Row],[10]]</f>
        <v>0.66666666666666674</v>
      </c>
    </row>
    <row r="5" spans="1:8" ht="34" x14ac:dyDescent="0.2">
      <c r="A5" s="17" t="s">
        <v>293</v>
      </c>
      <c r="B5" s="18">
        <v>0.1875</v>
      </c>
      <c r="C5" s="18">
        <v>3.125E-2</v>
      </c>
      <c r="D5" s="18">
        <v>0.53125</v>
      </c>
      <c r="E5" s="18">
        <f>Table134[[#This Row],[8]]+Table134[[#This Row],[9]]+Table134[[#This Row],[10]]</f>
        <v>0.75</v>
      </c>
    </row>
    <row r="9" spans="1:8" x14ac:dyDescent="0.2">
      <c r="A9" t="s">
        <v>42</v>
      </c>
      <c r="B9" t="s">
        <v>85</v>
      </c>
      <c r="C9" t="s">
        <v>86</v>
      </c>
      <c r="D9" t="s">
        <v>87</v>
      </c>
      <c r="E9" t="s">
        <v>147</v>
      </c>
      <c r="H9" t="s">
        <v>148</v>
      </c>
    </row>
    <row r="10" spans="1:8" ht="34" x14ac:dyDescent="0.2">
      <c r="A10" s="17" t="s">
        <v>44</v>
      </c>
      <c r="B10" s="18"/>
      <c r="C10" s="18">
        <v>0.19</v>
      </c>
      <c r="D10" s="18">
        <v>0.69</v>
      </c>
      <c r="E10" s="18">
        <f t="shared" ref="E10:E12" si="0">SUM(ROUND(B10,2),ROUND(C10,2),ROUND(D10,2))</f>
        <v>0.87999999999999989</v>
      </c>
      <c r="H10" s="18">
        <f>SUM(B10:D10)</f>
        <v>0.87999999999999989</v>
      </c>
    </row>
    <row r="11" spans="1:8" ht="34" x14ac:dyDescent="0.2">
      <c r="A11" s="17" t="s">
        <v>75</v>
      </c>
      <c r="B11" s="18">
        <v>0.11</v>
      </c>
      <c r="C11" s="18">
        <v>0.11</v>
      </c>
      <c r="D11" s="18">
        <v>0.5</v>
      </c>
      <c r="E11" s="18">
        <f t="shared" si="0"/>
        <v>0.72</v>
      </c>
      <c r="H11" s="18">
        <f t="shared" ref="H11:H13" si="1">SUM(B11:D11)</f>
        <v>0.72</v>
      </c>
    </row>
    <row r="12" spans="1:8" ht="34" x14ac:dyDescent="0.2">
      <c r="A12" s="17" t="s">
        <v>124</v>
      </c>
      <c r="B12" s="19">
        <v>0.33333333333333326</v>
      </c>
      <c r="C12" s="19">
        <v>8.3333333333333315E-2</v>
      </c>
      <c r="D12" s="19">
        <v>0.41666666666666674</v>
      </c>
      <c r="E12" s="18">
        <f t="shared" si="0"/>
        <v>0.83000000000000007</v>
      </c>
      <c r="H12" s="18">
        <f t="shared" si="1"/>
        <v>0.83333333333333326</v>
      </c>
    </row>
    <row r="13" spans="1:8" ht="34" x14ac:dyDescent="0.2">
      <c r="A13" s="17" t="s">
        <v>146</v>
      </c>
      <c r="B13" s="18">
        <v>9.0909090909090925E-2</v>
      </c>
      <c r="C13" s="18">
        <v>0.11363636363636363</v>
      </c>
      <c r="D13" s="18">
        <v>0.52272727272727271</v>
      </c>
      <c r="E13" s="18">
        <f t="shared" ref="E13" si="2">SUM(ROUND(B13,2),ROUND(C13,2),ROUND(D13,2))</f>
        <v>0.72</v>
      </c>
      <c r="G13" s="18">
        <v>0.01</v>
      </c>
      <c r="H13" s="18">
        <f t="shared" si="1"/>
        <v>0.72727272727272729</v>
      </c>
    </row>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38B64-6DE3-6A43-8617-5AFB7FD9752F}">
  <dimension ref="A1:J62"/>
  <sheetViews>
    <sheetView workbookViewId="0">
      <selection sqref="A1:E10"/>
    </sheetView>
  </sheetViews>
  <sheetFormatPr baseColWidth="10" defaultRowHeight="16" x14ac:dyDescent="0.2"/>
  <cols>
    <col min="1" max="1" width="54" customWidth="1"/>
    <col min="8" max="8" width="36.83203125" customWidth="1"/>
    <col min="9" max="9" width="51.6640625" customWidth="1"/>
  </cols>
  <sheetData>
    <row r="1" spans="1:10" ht="19" thickBot="1" x14ac:dyDescent="0.25">
      <c r="A1" s="15"/>
      <c r="B1" s="16" t="s">
        <v>122</v>
      </c>
      <c r="C1" s="16" t="s">
        <v>143</v>
      </c>
      <c r="D1" s="16" t="s">
        <v>203</v>
      </c>
      <c r="E1" s="16" t="s">
        <v>294</v>
      </c>
    </row>
    <row r="2" spans="1:10" ht="20" thickTop="1" thickBot="1" x14ac:dyDescent="0.25">
      <c r="A2" s="3" t="s">
        <v>24</v>
      </c>
      <c r="B2" s="4">
        <v>11</v>
      </c>
      <c r="C2" s="34">
        <v>34</v>
      </c>
      <c r="D2" s="4">
        <v>19</v>
      </c>
      <c r="E2" s="4">
        <v>30</v>
      </c>
      <c r="H2" s="17" t="s">
        <v>24</v>
      </c>
      <c r="I2">
        <v>30</v>
      </c>
      <c r="J2" s="18">
        <v>0.01</v>
      </c>
    </row>
    <row r="3" spans="1:10" ht="19" thickBot="1" x14ac:dyDescent="0.25">
      <c r="A3" s="5" t="s">
        <v>25</v>
      </c>
      <c r="B3" s="6">
        <v>6</v>
      </c>
      <c r="C3" s="35">
        <v>3</v>
      </c>
      <c r="D3" s="6">
        <v>10</v>
      </c>
      <c r="E3" s="6">
        <v>26</v>
      </c>
      <c r="H3" s="17" t="s">
        <v>25</v>
      </c>
      <c r="I3">
        <v>26</v>
      </c>
    </row>
    <row r="4" spans="1:10" ht="19" thickBot="1" x14ac:dyDescent="0.25">
      <c r="A4" s="5" t="s">
        <v>29</v>
      </c>
      <c r="B4" s="6">
        <v>1</v>
      </c>
      <c r="C4" s="35">
        <v>1</v>
      </c>
      <c r="D4" s="6">
        <v>10</v>
      </c>
      <c r="E4" s="6">
        <v>24</v>
      </c>
      <c r="H4" s="17" t="s">
        <v>29</v>
      </c>
      <c r="I4">
        <v>24</v>
      </c>
    </row>
    <row r="5" spans="1:10" ht="19" thickBot="1" x14ac:dyDescent="0.25">
      <c r="A5" s="5" t="s">
        <v>28</v>
      </c>
      <c r="B5" s="6">
        <v>1</v>
      </c>
      <c r="C5" s="35">
        <v>7</v>
      </c>
      <c r="D5" s="6">
        <v>9</v>
      </c>
      <c r="E5" s="6">
        <v>25</v>
      </c>
      <c r="H5" s="17" t="s">
        <v>28</v>
      </c>
      <c r="I5">
        <v>25</v>
      </c>
    </row>
    <row r="6" spans="1:10" ht="19" thickBot="1" x14ac:dyDescent="0.25">
      <c r="A6" s="5" t="s">
        <v>26</v>
      </c>
      <c r="B6" s="6">
        <v>4</v>
      </c>
      <c r="C6" s="35">
        <v>4</v>
      </c>
      <c r="D6" s="6">
        <v>9</v>
      </c>
      <c r="E6" s="6">
        <v>26</v>
      </c>
      <c r="H6" s="17" t="s">
        <v>26</v>
      </c>
      <c r="I6">
        <v>26</v>
      </c>
    </row>
    <row r="7" spans="1:10" ht="19" thickBot="1" x14ac:dyDescent="0.25">
      <c r="A7" s="5" t="s">
        <v>27</v>
      </c>
      <c r="B7" s="6">
        <v>5</v>
      </c>
      <c r="C7" s="35">
        <v>4</v>
      </c>
      <c r="D7" s="6">
        <v>8</v>
      </c>
      <c r="E7" s="6">
        <v>24</v>
      </c>
      <c r="H7" s="17" t="s">
        <v>27</v>
      </c>
      <c r="I7">
        <v>24</v>
      </c>
    </row>
    <row r="8" spans="1:10" ht="35" thickBot="1" x14ac:dyDescent="0.25">
      <c r="A8" s="5" t="s">
        <v>30</v>
      </c>
      <c r="B8" s="6">
        <v>1</v>
      </c>
      <c r="C8" s="35">
        <v>0</v>
      </c>
      <c r="D8" s="6">
        <v>7</v>
      </c>
      <c r="E8" s="6">
        <v>15</v>
      </c>
      <c r="H8" s="17" t="s">
        <v>30</v>
      </c>
      <c r="I8">
        <v>15</v>
      </c>
    </row>
    <row r="9" spans="1:10" ht="19" thickBot="1" x14ac:dyDescent="0.25">
      <c r="A9" s="7" t="s">
        <v>11</v>
      </c>
      <c r="B9" s="8">
        <v>0</v>
      </c>
      <c r="C9" s="45">
        <v>2</v>
      </c>
      <c r="D9" s="45">
        <v>0</v>
      </c>
      <c r="E9" s="45">
        <v>3</v>
      </c>
      <c r="H9" s="17" t="s">
        <v>219</v>
      </c>
      <c r="I9">
        <v>3</v>
      </c>
    </row>
    <row r="10" spans="1:10" ht="20" thickTop="1" thickBot="1" x14ac:dyDescent="0.25">
      <c r="A10" s="9" t="s">
        <v>12</v>
      </c>
      <c r="B10" s="10">
        <v>12</v>
      </c>
      <c r="C10" s="10">
        <v>44</v>
      </c>
      <c r="D10" s="10">
        <v>19</v>
      </c>
      <c r="E10" s="10">
        <v>33</v>
      </c>
    </row>
    <row r="17" spans="1:6" x14ac:dyDescent="0.2">
      <c r="B17" t="s">
        <v>154</v>
      </c>
      <c r="C17" t="s">
        <v>152</v>
      </c>
      <c r="D17" t="s">
        <v>153</v>
      </c>
      <c r="F17" t="s">
        <v>155</v>
      </c>
    </row>
    <row r="18" spans="1:6" x14ac:dyDescent="0.2">
      <c r="B18">
        <v>9.0909090909090917</v>
      </c>
      <c r="C18">
        <v>3</v>
      </c>
      <c r="D18">
        <v>9.0909090909090917</v>
      </c>
      <c r="F18">
        <v>9.0909090909090917</v>
      </c>
    </row>
    <row r="19" spans="1:6" x14ac:dyDescent="0.2">
      <c r="A19" t="s">
        <v>24</v>
      </c>
      <c r="B19">
        <v>90.909090909090907</v>
      </c>
      <c r="C19">
        <v>30</v>
      </c>
      <c r="D19">
        <v>90.909090909090907</v>
      </c>
      <c r="F19">
        <v>100</v>
      </c>
    </row>
    <row r="20" spans="1:6" x14ac:dyDescent="0.2">
      <c r="A20" t="s">
        <v>25</v>
      </c>
      <c r="B20">
        <v>78.787878787878782</v>
      </c>
      <c r="C20">
        <v>26</v>
      </c>
      <c r="D20">
        <v>78.787878787878782</v>
      </c>
    </row>
    <row r="21" spans="1:6" x14ac:dyDescent="0.2">
      <c r="A21" t="s">
        <v>27</v>
      </c>
      <c r="B21">
        <v>72.727272727272734</v>
      </c>
      <c r="C21">
        <v>24</v>
      </c>
      <c r="D21">
        <v>72.727272727272734</v>
      </c>
    </row>
    <row r="22" spans="1:6" x14ac:dyDescent="0.2">
      <c r="A22" t="s">
        <v>30</v>
      </c>
      <c r="B22">
        <v>45.454545454545453</v>
      </c>
      <c r="C22">
        <v>15</v>
      </c>
      <c r="D22">
        <v>45.454545454545453</v>
      </c>
    </row>
    <row r="23" spans="1:6" x14ac:dyDescent="0.2">
      <c r="A23" t="s">
        <v>28</v>
      </c>
      <c r="B23">
        <v>75.757575757575751</v>
      </c>
      <c r="C23">
        <v>25</v>
      </c>
      <c r="D23">
        <v>75.757575757575751</v>
      </c>
      <c r="F23" t="s">
        <v>155</v>
      </c>
    </row>
    <row r="24" spans="1:6" x14ac:dyDescent="0.2">
      <c r="A24" t="s">
        <v>26</v>
      </c>
      <c r="B24">
        <v>78.787878787878782</v>
      </c>
      <c r="C24">
        <v>26</v>
      </c>
      <c r="D24">
        <v>78.787878787878782</v>
      </c>
      <c r="F24">
        <v>21.212121212121211</v>
      </c>
    </row>
    <row r="25" spans="1:6" x14ac:dyDescent="0.2">
      <c r="A25" t="s">
        <v>29</v>
      </c>
      <c r="B25">
        <v>72.727272727272734</v>
      </c>
      <c r="C25">
        <v>24</v>
      </c>
      <c r="D25">
        <v>72.727272727272734</v>
      </c>
      <c r="F25">
        <v>100</v>
      </c>
    </row>
    <row r="26" spans="1:6" x14ac:dyDescent="0.2">
      <c r="A26" t="s">
        <v>219</v>
      </c>
      <c r="B26">
        <v>9.0909090909090917</v>
      </c>
      <c r="C26">
        <v>3</v>
      </c>
      <c r="D26">
        <v>9.0909090909090917</v>
      </c>
    </row>
    <row r="27" spans="1:6" x14ac:dyDescent="0.2">
      <c r="A27" t="s">
        <v>151</v>
      </c>
      <c r="B27" t="s">
        <v>157</v>
      </c>
      <c r="C27">
        <v>33</v>
      </c>
      <c r="D27">
        <v>100</v>
      </c>
      <c r="E27">
        <v>100</v>
      </c>
    </row>
    <row r="28" spans="1:6" x14ac:dyDescent="0.2">
      <c r="A28" t="s">
        <v>151</v>
      </c>
      <c r="B28" t="s">
        <v>157</v>
      </c>
      <c r="C28">
        <v>33</v>
      </c>
      <c r="D28">
        <v>100</v>
      </c>
      <c r="E28">
        <v>100</v>
      </c>
    </row>
    <row r="29" spans="1:6" x14ac:dyDescent="0.2">
      <c r="A29" t="s">
        <v>151</v>
      </c>
      <c r="B29" t="s">
        <v>157</v>
      </c>
      <c r="C29">
        <v>33</v>
      </c>
      <c r="D29">
        <v>100</v>
      </c>
      <c r="E29">
        <v>100</v>
      </c>
      <c r="F29" t="s">
        <v>155</v>
      </c>
    </row>
    <row r="30" spans="1:6" x14ac:dyDescent="0.2">
      <c r="A30" t="s">
        <v>151</v>
      </c>
      <c r="B30" t="s">
        <v>157</v>
      </c>
      <c r="C30">
        <v>33</v>
      </c>
      <c r="D30">
        <v>100</v>
      </c>
      <c r="E30">
        <v>100</v>
      </c>
      <c r="F30">
        <v>27.27272727272727</v>
      </c>
    </row>
    <row r="31" spans="1:6" x14ac:dyDescent="0.2">
      <c r="A31" t="s">
        <v>151</v>
      </c>
      <c r="B31" t="s">
        <v>157</v>
      </c>
      <c r="C31">
        <v>33</v>
      </c>
      <c r="D31">
        <v>100</v>
      </c>
      <c r="E31">
        <v>100</v>
      </c>
      <c r="F31">
        <v>100</v>
      </c>
    </row>
    <row r="32" spans="1:6" x14ac:dyDescent="0.2">
      <c r="A32" t="s">
        <v>151</v>
      </c>
      <c r="B32" t="s">
        <v>157</v>
      </c>
      <c r="C32">
        <v>33</v>
      </c>
      <c r="D32">
        <v>100</v>
      </c>
      <c r="E32">
        <v>100</v>
      </c>
    </row>
    <row r="33" spans="1:6" x14ac:dyDescent="0.2">
      <c r="A33" t="s">
        <v>151</v>
      </c>
      <c r="B33" t="s">
        <v>157</v>
      </c>
      <c r="C33">
        <v>33</v>
      </c>
      <c r="D33">
        <v>100</v>
      </c>
      <c r="E33">
        <v>100</v>
      </c>
    </row>
    <row r="34" spans="1:6" x14ac:dyDescent="0.2">
      <c r="B34" t="s">
        <v>161</v>
      </c>
      <c r="C34">
        <v>7</v>
      </c>
      <c r="D34">
        <v>21.212121212121211</v>
      </c>
      <c r="E34">
        <v>21.212121212121211</v>
      </c>
    </row>
    <row r="35" spans="1:6" x14ac:dyDescent="0.2">
      <c r="B35" t="s">
        <v>161</v>
      </c>
      <c r="C35">
        <v>9</v>
      </c>
      <c r="D35">
        <v>27.27272727272727</v>
      </c>
      <c r="E35">
        <v>27.27272727272727</v>
      </c>
      <c r="F35" t="s">
        <v>155</v>
      </c>
    </row>
    <row r="36" spans="1:6" x14ac:dyDescent="0.2">
      <c r="B36" t="s">
        <v>161</v>
      </c>
      <c r="C36">
        <v>18</v>
      </c>
      <c r="D36">
        <v>54.54545454545454</v>
      </c>
      <c r="E36">
        <v>54.54545454545454</v>
      </c>
      <c r="F36">
        <v>54.54545454545454</v>
      </c>
    </row>
    <row r="37" spans="1:6" x14ac:dyDescent="0.2">
      <c r="B37" t="s">
        <v>161</v>
      </c>
      <c r="C37">
        <v>8</v>
      </c>
      <c r="D37">
        <v>24.242424242424242</v>
      </c>
      <c r="E37">
        <v>24.242424242424242</v>
      </c>
      <c r="F37">
        <v>100</v>
      </c>
    </row>
    <row r="38" spans="1:6" x14ac:dyDescent="0.2">
      <c r="B38" t="s">
        <v>161</v>
      </c>
      <c r="C38">
        <v>7</v>
      </c>
      <c r="D38">
        <v>21.212121212121211</v>
      </c>
      <c r="E38">
        <v>21.212121212121211</v>
      </c>
    </row>
    <row r="39" spans="1:6" x14ac:dyDescent="0.2">
      <c r="B39" t="s">
        <v>161</v>
      </c>
      <c r="C39">
        <v>9</v>
      </c>
      <c r="D39">
        <v>27.27272727272727</v>
      </c>
      <c r="E39">
        <v>27.27272727272727</v>
      </c>
    </row>
    <row r="40" spans="1:6" x14ac:dyDescent="0.2">
      <c r="B40" t="s">
        <v>161</v>
      </c>
      <c r="C40">
        <v>30</v>
      </c>
      <c r="D40">
        <v>90.909090909090907</v>
      </c>
      <c r="E40">
        <v>90.909090909090907</v>
      </c>
    </row>
    <row r="41" spans="1:6" x14ac:dyDescent="0.2">
      <c r="A41" t="s">
        <v>156</v>
      </c>
      <c r="F41" t="s">
        <v>155</v>
      </c>
    </row>
    <row r="42" spans="1:6" x14ac:dyDescent="0.2">
      <c r="F42">
        <v>24.242424242424242</v>
      </c>
    </row>
    <row r="43" spans="1:6" x14ac:dyDescent="0.2">
      <c r="C43" t="s">
        <v>152</v>
      </c>
      <c r="D43" t="s">
        <v>153</v>
      </c>
      <c r="E43" t="s">
        <v>154</v>
      </c>
      <c r="F43">
        <v>100</v>
      </c>
    </row>
    <row r="44" spans="1:6" x14ac:dyDescent="0.2">
      <c r="A44" t="s">
        <v>156</v>
      </c>
    </row>
    <row r="46" spans="1:6" x14ac:dyDescent="0.2">
      <c r="C46" t="s">
        <v>152</v>
      </c>
      <c r="D46" t="s">
        <v>153</v>
      </c>
      <c r="E46" t="s">
        <v>154</v>
      </c>
    </row>
    <row r="47" spans="1:6" x14ac:dyDescent="0.2">
      <c r="A47" t="s">
        <v>156</v>
      </c>
      <c r="F47" t="s">
        <v>155</v>
      </c>
    </row>
    <row r="48" spans="1:6" x14ac:dyDescent="0.2">
      <c r="F48">
        <v>21.212121212121211</v>
      </c>
    </row>
    <row r="49" spans="1:6" x14ac:dyDescent="0.2">
      <c r="C49" t="s">
        <v>152</v>
      </c>
      <c r="D49" t="s">
        <v>153</v>
      </c>
      <c r="E49" t="s">
        <v>154</v>
      </c>
      <c r="F49">
        <v>100</v>
      </c>
    </row>
    <row r="50" spans="1:6" x14ac:dyDescent="0.2">
      <c r="A50" t="s">
        <v>156</v>
      </c>
    </row>
    <row r="52" spans="1:6" x14ac:dyDescent="0.2">
      <c r="C52" t="s">
        <v>152</v>
      </c>
      <c r="D52" t="s">
        <v>153</v>
      </c>
      <c r="E52" t="s">
        <v>154</v>
      </c>
    </row>
    <row r="53" spans="1:6" x14ac:dyDescent="0.2">
      <c r="A53" t="s">
        <v>156</v>
      </c>
      <c r="F53" t="s">
        <v>155</v>
      </c>
    </row>
    <row r="54" spans="1:6" x14ac:dyDescent="0.2">
      <c r="F54">
        <v>27.27272727272727</v>
      </c>
    </row>
    <row r="55" spans="1:6" x14ac:dyDescent="0.2">
      <c r="C55" t="s">
        <v>152</v>
      </c>
      <c r="D55" t="s">
        <v>153</v>
      </c>
      <c r="E55" t="s">
        <v>154</v>
      </c>
      <c r="F55">
        <v>100</v>
      </c>
    </row>
    <row r="56" spans="1:6" x14ac:dyDescent="0.2">
      <c r="A56" t="s">
        <v>156</v>
      </c>
    </row>
    <row r="58" spans="1:6" x14ac:dyDescent="0.2">
      <c r="C58" t="s">
        <v>152</v>
      </c>
      <c r="D58" t="s">
        <v>153</v>
      </c>
      <c r="E58" t="s">
        <v>154</v>
      </c>
    </row>
    <row r="59" spans="1:6" x14ac:dyDescent="0.2">
      <c r="A59" t="s">
        <v>156</v>
      </c>
      <c r="F59" t="s">
        <v>155</v>
      </c>
    </row>
    <row r="60" spans="1:6" x14ac:dyDescent="0.2">
      <c r="F60">
        <v>90.909090909090907</v>
      </c>
    </row>
    <row r="61" spans="1:6" x14ac:dyDescent="0.2">
      <c r="C61" t="s">
        <v>152</v>
      </c>
      <c r="D61" t="s">
        <v>153</v>
      </c>
      <c r="E61" t="s">
        <v>154</v>
      </c>
      <c r="F61">
        <v>100</v>
      </c>
    </row>
    <row r="62" spans="1:6" x14ac:dyDescent="0.2">
      <c r="B62" t="s">
        <v>157</v>
      </c>
      <c r="C62">
        <v>33</v>
      </c>
      <c r="D62">
        <v>100</v>
      </c>
      <c r="E62">
        <v>100</v>
      </c>
    </row>
  </sheetData>
  <sortState xmlns:xlrd2="http://schemas.microsoft.com/office/spreadsheetml/2017/richdata2" ref="A19:E61">
    <sortCondition ref="B19:B61"/>
  </sortState>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A9E1-B557-9345-ABA8-A8510F05C33E}">
  <dimension ref="A1:G22"/>
  <sheetViews>
    <sheetView workbookViewId="0">
      <selection sqref="A1:D5"/>
    </sheetView>
  </sheetViews>
  <sheetFormatPr baseColWidth="10" defaultRowHeight="16" x14ac:dyDescent="0.2"/>
  <sheetData>
    <row r="1" spans="1:7" x14ac:dyDescent="0.2">
      <c r="A1" s="24" t="s">
        <v>42</v>
      </c>
      <c r="B1" s="24">
        <v>8</v>
      </c>
      <c r="C1" s="24">
        <v>9</v>
      </c>
      <c r="D1" s="24">
        <v>10</v>
      </c>
    </row>
    <row r="2" spans="1:7" ht="32" x14ac:dyDescent="0.2">
      <c r="A2" s="25" t="s">
        <v>124</v>
      </c>
      <c r="B2" s="26">
        <v>0.17</v>
      </c>
      <c r="C2" s="26"/>
      <c r="D2" s="26">
        <v>0.08</v>
      </c>
    </row>
    <row r="3" spans="1:7" ht="32" x14ac:dyDescent="0.2">
      <c r="A3" s="25" t="s">
        <v>146</v>
      </c>
      <c r="B3" s="26"/>
      <c r="C3" s="26">
        <v>0.02</v>
      </c>
      <c r="D3" s="26">
        <v>0.27</v>
      </c>
    </row>
    <row r="4" spans="1:7" ht="32" x14ac:dyDescent="0.2">
      <c r="A4" s="25" t="s">
        <v>194</v>
      </c>
      <c r="B4" s="26">
        <v>0.11</v>
      </c>
      <c r="C4" s="26">
        <v>0.11</v>
      </c>
      <c r="D4" s="26">
        <v>0.16</v>
      </c>
    </row>
    <row r="5" spans="1:7" ht="32" x14ac:dyDescent="0.2">
      <c r="A5" s="25" t="s">
        <v>293</v>
      </c>
      <c r="B5" s="18">
        <v>9.0909090909090925E-2</v>
      </c>
      <c r="C5" s="18">
        <v>9.0909090909090925E-2</v>
      </c>
      <c r="D5" s="18">
        <v>0.33333333333333331</v>
      </c>
      <c r="G5" s="18">
        <v>0.01</v>
      </c>
    </row>
    <row r="11" spans="1:7" x14ac:dyDescent="0.2">
      <c r="A11" t="s">
        <v>212</v>
      </c>
    </row>
    <row r="12" spans="1:7" x14ac:dyDescent="0.2">
      <c r="A12" t="s">
        <v>151</v>
      </c>
      <c r="C12" t="s">
        <v>152</v>
      </c>
      <c r="D12" t="s">
        <v>153</v>
      </c>
      <c r="E12" t="s">
        <v>154</v>
      </c>
      <c r="F12" t="s">
        <v>155</v>
      </c>
    </row>
    <row r="13" spans="1:7" x14ac:dyDescent="0.2">
      <c r="A13" t="s">
        <v>156</v>
      </c>
      <c r="B13" t="s">
        <v>213</v>
      </c>
      <c r="C13">
        <v>1</v>
      </c>
      <c r="D13">
        <v>5.2631578947368416</v>
      </c>
      <c r="E13">
        <v>5.2631578947368416</v>
      </c>
      <c r="F13">
        <v>5.2631578947368416</v>
      </c>
    </row>
    <row r="14" spans="1:7" x14ac:dyDescent="0.2">
      <c r="B14" t="s">
        <v>214</v>
      </c>
      <c r="C14">
        <v>1</v>
      </c>
      <c r="D14">
        <v>5.2631578947368416</v>
      </c>
      <c r="E14">
        <v>5.2631578947368416</v>
      </c>
      <c r="F14">
        <v>10.526315789473683</v>
      </c>
    </row>
    <row r="15" spans="1:7" x14ac:dyDescent="0.2">
      <c r="B15" t="s">
        <v>201</v>
      </c>
      <c r="C15">
        <v>1</v>
      </c>
      <c r="D15">
        <v>5.2631578947368416</v>
      </c>
      <c r="E15">
        <v>5.2631578947368416</v>
      </c>
      <c r="F15">
        <v>15.789473684210526</v>
      </c>
    </row>
    <row r="16" spans="1:7" x14ac:dyDescent="0.2">
      <c r="B16" t="s">
        <v>215</v>
      </c>
      <c r="C16">
        <v>2</v>
      </c>
      <c r="D16">
        <v>10.526315789473683</v>
      </c>
      <c r="E16">
        <v>10.526315789473683</v>
      </c>
      <c r="F16">
        <v>26.315789473684209</v>
      </c>
    </row>
    <row r="17" spans="2:6" x14ac:dyDescent="0.2">
      <c r="B17" t="s">
        <v>85</v>
      </c>
      <c r="C17">
        <v>2</v>
      </c>
      <c r="D17">
        <v>10.526315789473683</v>
      </c>
      <c r="E17">
        <v>10.526315789473683</v>
      </c>
      <c r="F17">
        <v>36.84210526315789</v>
      </c>
    </row>
    <row r="18" spans="2:6" x14ac:dyDescent="0.2">
      <c r="B18" t="s">
        <v>86</v>
      </c>
      <c r="C18">
        <v>2</v>
      </c>
      <c r="D18">
        <v>10.526315789473683</v>
      </c>
      <c r="E18">
        <v>10.526315789473683</v>
      </c>
      <c r="F18">
        <v>47.368421052631575</v>
      </c>
    </row>
    <row r="19" spans="2:6" x14ac:dyDescent="0.2">
      <c r="B19" t="s">
        <v>202</v>
      </c>
      <c r="C19">
        <v>3</v>
      </c>
      <c r="D19">
        <v>15.789473684210526</v>
      </c>
      <c r="E19">
        <v>15.789473684210526</v>
      </c>
      <c r="F19">
        <v>63.157894736842103</v>
      </c>
    </row>
    <row r="20" spans="2:6" x14ac:dyDescent="0.2">
      <c r="B20" t="s">
        <v>93</v>
      </c>
      <c r="C20">
        <v>2</v>
      </c>
      <c r="D20">
        <v>10.526315789473683</v>
      </c>
      <c r="E20">
        <v>10.526315789473683</v>
      </c>
      <c r="F20">
        <v>73.68421052631578</v>
      </c>
    </row>
    <row r="21" spans="2:6" x14ac:dyDescent="0.2">
      <c r="B21" t="s">
        <v>216</v>
      </c>
      <c r="C21">
        <v>5</v>
      </c>
      <c r="D21">
        <v>26.315789473684209</v>
      </c>
      <c r="E21">
        <v>26.315789473684209</v>
      </c>
      <c r="F21">
        <v>100</v>
      </c>
    </row>
    <row r="22" spans="2:6" x14ac:dyDescent="0.2">
      <c r="B22" t="s">
        <v>157</v>
      </c>
      <c r="C22">
        <v>19</v>
      </c>
      <c r="D22">
        <v>100</v>
      </c>
      <c r="E22">
        <v>100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D5D7-BF89-D94F-B597-09BE1C6CE733}">
  <dimension ref="A1:H37"/>
  <sheetViews>
    <sheetView workbookViewId="0">
      <selection sqref="A1:E19"/>
    </sheetView>
  </sheetViews>
  <sheetFormatPr baseColWidth="10" defaultRowHeight="16" x14ac:dyDescent="0.2"/>
  <cols>
    <col min="1" max="1" width="27.33203125" customWidth="1"/>
    <col min="7" max="7" width="29.83203125" customWidth="1"/>
    <col min="8" max="8" width="9.1640625" customWidth="1"/>
  </cols>
  <sheetData>
    <row r="1" spans="1:8" ht="19" thickBot="1" x14ac:dyDescent="0.25">
      <c r="A1" s="15"/>
      <c r="B1" s="16" t="s">
        <v>122</v>
      </c>
      <c r="C1" s="16" t="s">
        <v>143</v>
      </c>
      <c r="D1" s="16" t="s">
        <v>203</v>
      </c>
      <c r="E1" s="16" t="s">
        <v>294</v>
      </c>
    </row>
    <row r="2" spans="1:8" ht="20" thickTop="1" thickBot="1" x14ac:dyDescent="0.25">
      <c r="A2" s="96" t="s">
        <v>33</v>
      </c>
      <c r="B2" s="100">
        <v>4</v>
      </c>
      <c r="C2" s="117">
        <v>11</v>
      </c>
      <c r="D2" s="117">
        <v>2</v>
      </c>
      <c r="E2" s="117">
        <v>6</v>
      </c>
      <c r="G2" t="s">
        <v>37</v>
      </c>
      <c r="H2">
        <v>3</v>
      </c>
    </row>
    <row r="3" spans="1:8" ht="19" thickBot="1" x14ac:dyDescent="0.25">
      <c r="A3" s="5" t="s">
        <v>39</v>
      </c>
      <c r="B3" s="39">
        <v>1</v>
      </c>
      <c r="C3" s="35">
        <v>15</v>
      </c>
      <c r="D3" s="35">
        <v>5</v>
      </c>
      <c r="E3" s="35">
        <v>5</v>
      </c>
      <c r="G3" t="s">
        <v>163</v>
      </c>
      <c r="H3">
        <v>3</v>
      </c>
    </row>
    <row r="4" spans="1:8" ht="19" thickBot="1" x14ac:dyDescent="0.25">
      <c r="A4" s="115" t="s">
        <v>31</v>
      </c>
      <c r="B4" s="116">
        <v>1</v>
      </c>
      <c r="C4" s="118">
        <v>1</v>
      </c>
      <c r="D4" s="118">
        <v>3</v>
      </c>
      <c r="E4" s="118">
        <v>3</v>
      </c>
      <c r="G4" t="s">
        <v>32</v>
      </c>
      <c r="H4">
        <v>1</v>
      </c>
    </row>
    <row r="5" spans="1:8" ht="37" thickBot="1" x14ac:dyDescent="0.25">
      <c r="A5" s="38" t="s">
        <v>37</v>
      </c>
      <c r="B5" s="39">
        <v>0</v>
      </c>
      <c r="C5" s="35">
        <v>0</v>
      </c>
      <c r="D5" s="35">
        <v>1</v>
      </c>
      <c r="E5" s="35">
        <v>3</v>
      </c>
      <c r="G5" t="s">
        <v>33</v>
      </c>
      <c r="H5">
        <v>6</v>
      </c>
    </row>
    <row r="6" spans="1:8" ht="19" thickBot="1" x14ac:dyDescent="0.25">
      <c r="A6" s="5" t="s">
        <v>32</v>
      </c>
      <c r="B6" s="39">
        <v>1</v>
      </c>
      <c r="C6" s="35">
        <v>0</v>
      </c>
      <c r="D6" s="35">
        <v>1</v>
      </c>
      <c r="E6" s="35">
        <v>1</v>
      </c>
      <c r="G6" t="s">
        <v>34</v>
      </c>
      <c r="H6">
        <v>1</v>
      </c>
    </row>
    <row r="7" spans="1:8" ht="19" thickBot="1" x14ac:dyDescent="0.25">
      <c r="A7" s="5" t="s">
        <v>34</v>
      </c>
      <c r="B7" s="35">
        <v>0</v>
      </c>
      <c r="C7" s="35">
        <v>3</v>
      </c>
      <c r="D7" s="35">
        <v>0</v>
      </c>
      <c r="E7" s="35">
        <v>1</v>
      </c>
      <c r="G7" t="s">
        <v>307</v>
      </c>
      <c r="H7">
        <v>1</v>
      </c>
    </row>
    <row r="8" spans="1:8" ht="19" thickBot="1" x14ac:dyDescent="0.25">
      <c r="A8" s="43" t="s">
        <v>165</v>
      </c>
      <c r="B8" s="35">
        <v>0</v>
      </c>
      <c r="C8" s="35">
        <v>2</v>
      </c>
      <c r="D8" s="35">
        <v>0</v>
      </c>
      <c r="E8" s="35">
        <v>1</v>
      </c>
      <c r="G8" t="s">
        <v>165</v>
      </c>
      <c r="H8">
        <v>1</v>
      </c>
    </row>
    <row r="9" spans="1:8" ht="37" thickBot="1" x14ac:dyDescent="0.25">
      <c r="A9" s="5" t="s">
        <v>307</v>
      </c>
      <c r="B9" s="35"/>
      <c r="C9" s="35"/>
      <c r="D9" s="35"/>
      <c r="E9" s="35">
        <v>1</v>
      </c>
      <c r="G9" t="s">
        <v>83</v>
      </c>
      <c r="H9">
        <v>5</v>
      </c>
    </row>
    <row r="10" spans="1:8" ht="19" thickBot="1" x14ac:dyDescent="0.25">
      <c r="A10" s="40" t="s">
        <v>35</v>
      </c>
      <c r="B10" s="55">
        <v>1</v>
      </c>
      <c r="C10" s="55">
        <v>2</v>
      </c>
      <c r="D10" s="55">
        <v>1</v>
      </c>
      <c r="E10" s="55">
        <v>0</v>
      </c>
      <c r="G10" t="s">
        <v>40</v>
      </c>
      <c r="H10">
        <v>9</v>
      </c>
    </row>
    <row r="11" spans="1:8" ht="19" thickBot="1" x14ac:dyDescent="0.25">
      <c r="A11" s="38" t="s">
        <v>95</v>
      </c>
      <c r="B11" s="39">
        <v>0</v>
      </c>
      <c r="C11" s="35">
        <v>0</v>
      </c>
      <c r="D11" s="35">
        <v>1</v>
      </c>
      <c r="E11" s="35">
        <v>0</v>
      </c>
      <c r="G11" t="s">
        <v>11</v>
      </c>
      <c r="H11">
        <v>3</v>
      </c>
    </row>
    <row r="12" spans="1:8" ht="19" thickBot="1" x14ac:dyDescent="0.25">
      <c r="A12" s="43" t="s">
        <v>164</v>
      </c>
      <c r="B12" s="35">
        <v>0</v>
      </c>
      <c r="C12" s="35">
        <v>3</v>
      </c>
      <c r="D12" s="35">
        <v>0</v>
      </c>
      <c r="E12" s="35">
        <v>0</v>
      </c>
    </row>
    <row r="13" spans="1:8" ht="37" thickBot="1" x14ac:dyDescent="0.25">
      <c r="A13" s="5" t="s">
        <v>41</v>
      </c>
      <c r="B13" s="35" t="s">
        <v>129</v>
      </c>
      <c r="C13" s="35">
        <v>1</v>
      </c>
      <c r="D13" s="35">
        <v>0</v>
      </c>
      <c r="E13" s="35">
        <v>0</v>
      </c>
    </row>
    <row r="14" spans="1:8" ht="37" thickBot="1" x14ac:dyDescent="0.25">
      <c r="A14" s="5" t="s">
        <v>36</v>
      </c>
      <c r="B14" s="35">
        <v>2</v>
      </c>
      <c r="C14" s="35">
        <v>0</v>
      </c>
      <c r="D14" s="35">
        <v>0</v>
      </c>
      <c r="E14" s="35">
        <v>0</v>
      </c>
    </row>
    <row r="15" spans="1:8" ht="55" thickBot="1" x14ac:dyDescent="0.25">
      <c r="A15" s="38" t="s">
        <v>96</v>
      </c>
      <c r="B15" s="39">
        <v>0</v>
      </c>
      <c r="C15" s="35">
        <v>0</v>
      </c>
      <c r="D15" s="35">
        <v>0</v>
      </c>
      <c r="E15" s="35">
        <v>0</v>
      </c>
    </row>
    <row r="16" spans="1:8" ht="19" thickBot="1" x14ac:dyDescent="0.25">
      <c r="A16" s="5" t="s">
        <v>38</v>
      </c>
      <c r="B16" s="39">
        <v>0</v>
      </c>
      <c r="C16" s="35">
        <v>0</v>
      </c>
      <c r="D16" s="35">
        <v>0</v>
      </c>
      <c r="E16" s="35">
        <v>0</v>
      </c>
    </row>
    <row r="17" spans="1:6" ht="19" thickBot="1" x14ac:dyDescent="0.25">
      <c r="A17" s="5" t="s">
        <v>40</v>
      </c>
      <c r="B17" s="39">
        <v>0</v>
      </c>
      <c r="C17" s="35">
        <v>2</v>
      </c>
      <c r="D17" s="35">
        <v>0</v>
      </c>
      <c r="E17" s="35">
        <v>9</v>
      </c>
    </row>
    <row r="18" spans="1:6" ht="19" thickBot="1" x14ac:dyDescent="0.25">
      <c r="A18" s="44" t="s">
        <v>11</v>
      </c>
      <c r="B18" s="45">
        <v>0</v>
      </c>
      <c r="C18" s="45">
        <v>4</v>
      </c>
      <c r="D18" s="45">
        <v>4</v>
      </c>
      <c r="E18" s="45">
        <v>3</v>
      </c>
    </row>
    <row r="19" spans="1:6" ht="20" thickTop="1" thickBot="1" x14ac:dyDescent="0.25">
      <c r="A19" s="9" t="s">
        <v>12</v>
      </c>
      <c r="B19" s="10">
        <v>12</v>
      </c>
      <c r="C19" s="10">
        <v>44</v>
      </c>
      <c r="D19" s="10">
        <v>19</v>
      </c>
      <c r="E19" s="10">
        <v>33</v>
      </c>
    </row>
    <row r="25" spans="1:6" x14ac:dyDescent="0.2">
      <c r="A25" t="s">
        <v>217</v>
      </c>
    </row>
    <row r="26" spans="1:6" x14ac:dyDescent="0.2">
      <c r="A26" t="s">
        <v>151</v>
      </c>
      <c r="C26" t="s">
        <v>152</v>
      </c>
      <c r="D26" t="s">
        <v>153</v>
      </c>
      <c r="E26" t="s">
        <v>154</v>
      </c>
      <c r="F26" t="s">
        <v>155</v>
      </c>
    </row>
    <row r="27" spans="1:6" x14ac:dyDescent="0.2">
      <c r="A27" t="s">
        <v>156</v>
      </c>
      <c r="B27" t="s">
        <v>37</v>
      </c>
      <c r="C27">
        <v>3</v>
      </c>
      <c r="D27">
        <v>9.0909090909090917</v>
      </c>
      <c r="E27">
        <v>9.0909090909090917</v>
      </c>
      <c r="F27">
        <v>9.0909090909090917</v>
      </c>
    </row>
    <row r="28" spans="1:6" x14ac:dyDescent="0.2">
      <c r="B28" t="s">
        <v>163</v>
      </c>
      <c r="C28">
        <v>3</v>
      </c>
      <c r="D28">
        <v>9.0909090909090917</v>
      </c>
      <c r="E28">
        <v>9.0909090909090917</v>
      </c>
      <c r="F28">
        <v>18.181818181818183</v>
      </c>
    </row>
    <row r="29" spans="1:6" x14ac:dyDescent="0.2">
      <c r="B29" t="s">
        <v>32</v>
      </c>
      <c r="C29">
        <v>1</v>
      </c>
      <c r="D29">
        <v>3.0303030303030303</v>
      </c>
      <c r="E29">
        <v>3.0303030303030303</v>
      </c>
      <c r="F29">
        <v>21.212121212121211</v>
      </c>
    </row>
    <row r="30" spans="1:6" x14ac:dyDescent="0.2">
      <c r="B30" t="s">
        <v>33</v>
      </c>
      <c r="C30">
        <v>6</v>
      </c>
      <c r="D30">
        <v>18.181818181818183</v>
      </c>
      <c r="E30">
        <v>18.181818181818183</v>
      </c>
      <c r="F30">
        <v>39.393939393939391</v>
      </c>
    </row>
    <row r="31" spans="1:6" x14ac:dyDescent="0.2">
      <c r="B31" t="s">
        <v>34</v>
      </c>
      <c r="C31">
        <v>1</v>
      </c>
      <c r="D31">
        <v>3.0303030303030303</v>
      </c>
      <c r="E31">
        <v>3.0303030303030303</v>
      </c>
      <c r="F31">
        <v>42.424242424242422</v>
      </c>
    </row>
    <row r="32" spans="1:6" x14ac:dyDescent="0.2">
      <c r="B32" t="s">
        <v>307</v>
      </c>
      <c r="C32">
        <v>1</v>
      </c>
      <c r="D32">
        <v>3.0303030303030303</v>
      </c>
      <c r="E32">
        <v>3.0303030303030303</v>
      </c>
      <c r="F32">
        <v>45.454545454545453</v>
      </c>
    </row>
    <row r="33" spans="2:6" x14ac:dyDescent="0.2">
      <c r="B33" t="s">
        <v>165</v>
      </c>
      <c r="C33">
        <v>1</v>
      </c>
      <c r="D33">
        <v>3.0303030303030303</v>
      </c>
      <c r="E33">
        <v>3.0303030303030303</v>
      </c>
      <c r="F33">
        <v>48.484848484848484</v>
      </c>
    </row>
    <row r="34" spans="2:6" x14ac:dyDescent="0.2">
      <c r="B34" t="s">
        <v>83</v>
      </c>
      <c r="C34">
        <v>5</v>
      </c>
      <c r="D34">
        <v>15.151515151515152</v>
      </c>
      <c r="E34">
        <v>15.151515151515152</v>
      </c>
      <c r="F34">
        <v>63.636363636363633</v>
      </c>
    </row>
    <row r="35" spans="2:6" x14ac:dyDescent="0.2">
      <c r="B35" t="s">
        <v>40</v>
      </c>
      <c r="C35">
        <v>9</v>
      </c>
      <c r="D35">
        <v>27.27272727272727</v>
      </c>
      <c r="E35">
        <v>27.27272727272727</v>
      </c>
      <c r="F35">
        <v>90.909090909090907</v>
      </c>
    </row>
    <row r="36" spans="2:6" x14ac:dyDescent="0.2">
      <c r="B36" t="s">
        <v>11</v>
      </c>
      <c r="C36">
        <v>3</v>
      </c>
      <c r="D36">
        <v>9.0909090909090917</v>
      </c>
      <c r="E36">
        <v>9.0909090909090917</v>
      </c>
      <c r="F36">
        <v>100</v>
      </c>
    </row>
    <row r="37" spans="2:6" x14ac:dyDescent="0.2">
      <c r="B37" t="s">
        <v>157</v>
      </c>
      <c r="C37">
        <v>33</v>
      </c>
      <c r="D37">
        <v>100</v>
      </c>
      <c r="E37">
        <v>100</v>
      </c>
    </row>
  </sheetData>
  <sortState xmlns:xlrd2="http://schemas.microsoft.com/office/spreadsheetml/2017/richdata2" ref="A2:E16">
    <sortCondition descending="1" ref="E2:E16"/>
  </sortState>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0C08-5920-5949-815A-7FA8774E8324}">
  <dimension ref="A1:H13"/>
  <sheetViews>
    <sheetView workbookViewId="0">
      <selection sqref="A1:D5"/>
    </sheetView>
  </sheetViews>
  <sheetFormatPr baseColWidth="10" defaultRowHeight="16" x14ac:dyDescent="0.2"/>
  <sheetData>
    <row r="1" spans="1:8" x14ac:dyDescent="0.2">
      <c r="A1" s="31" t="s">
        <v>42</v>
      </c>
      <c r="B1" t="s">
        <v>85</v>
      </c>
      <c r="C1" t="s">
        <v>86</v>
      </c>
      <c r="D1" t="s">
        <v>87</v>
      </c>
      <c r="E1" t="s">
        <v>78</v>
      </c>
    </row>
    <row r="2" spans="1:8" ht="34" x14ac:dyDescent="0.2">
      <c r="A2" s="32" t="s">
        <v>124</v>
      </c>
      <c r="B2" s="18">
        <v>0.17</v>
      </c>
      <c r="C2" s="18"/>
      <c r="D2" s="18">
        <v>0.33</v>
      </c>
      <c r="E2" s="18"/>
    </row>
    <row r="3" spans="1:8" ht="34" x14ac:dyDescent="0.2">
      <c r="A3" s="32" t="s">
        <v>146</v>
      </c>
      <c r="B3" s="18"/>
      <c r="C3" s="18">
        <v>6.8181818181818177E-2</v>
      </c>
      <c r="D3" s="18">
        <v>0.47727272727272729</v>
      </c>
      <c r="E3" s="18"/>
    </row>
    <row r="4" spans="1:8" ht="34" x14ac:dyDescent="0.2">
      <c r="A4" s="32" t="s">
        <v>194</v>
      </c>
      <c r="B4" s="18"/>
      <c r="C4" s="18">
        <v>5.2631578947368418E-2</v>
      </c>
      <c r="D4" s="18">
        <v>0.36842105263157893</v>
      </c>
      <c r="E4" s="18"/>
    </row>
    <row r="5" spans="1:8" ht="34" x14ac:dyDescent="0.2">
      <c r="A5" s="32" t="s">
        <v>293</v>
      </c>
      <c r="B5" s="18"/>
      <c r="C5" s="18"/>
      <c r="D5" s="18">
        <v>0.33</v>
      </c>
      <c r="E5" s="18"/>
      <c r="F5" s="18">
        <v>0.01</v>
      </c>
    </row>
    <row r="9" spans="1:8" x14ac:dyDescent="0.2">
      <c r="A9" s="31" t="s">
        <v>42</v>
      </c>
      <c r="B9" t="s">
        <v>85</v>
      </c>
      <c r="C9" t="s">
        <v>86</v>
      </c>
      <c r="D9" t="s">
        <v>87</v>
      </c>
      <c r="E9" t="s">
        <v>147</v>
      </c>
      <c r="H9" t="s">
        <v>148</v>
      </c>
    </row>
    <row r="10" spans="1:8" ht="34" x14ac:dyDescent="0.2">
      <c r="A10" s="32" t="s">
        <v>44</v>
      </c>
      <c r="B10" s="18"/>
      <c r="C10" s="18">
        <v>0.06</v>
      </c>
      <c r="D10" s="18">
        <v>0.5</v>
      </c>
      <c r="E10" s="18">
        <f>SUM(ROUND(B10,2),ROUND(C10,2),ROUND(D10,2))</f>
        <v>0.56000000000000005</v>
      </c>
      <c r="H10" s="18">
        <f>SUM(B10:D10)</f>
        <v>0.56000000000000005</v>
      </c>
    </row>
    <row r="11" spans="1:8" ht="34" x14ac:dyDescent="0.2">
      <c r="A11" s="32" t="s">
        <v>75</v>
      </c>
      <c r="B11" s="18">
        <v>0.11</v>
      </c>
      <c r="C11" s="18"/>
      <c r="D11" s="18">
        <v>0.5</v>
      </c>
      <c r="E11" s="18">
        <f t="shared" ref="E11:E13" si="0">SUM(ROUND(B11,2),ROUND(C11,2),ROUND(D11,2))</f>
        <v>0.61</v>
      </c>
      <c r="H11" s="18">
        <f t="shared" ref="H11:H13" si="1">SUM(B11:D11)</f>
        <v>0.61</v>
      </c>
    </row>
    <row r="12" spans="1:8" ht="34" x14ac:dyDescent="0.2">
      <c r="A12" s="32" t="s">
        <v>124</v>
      </c>
      <c r="B12" s="18">
        <v>0.17</v>
      </c>
      <c r="C12" s="18"/>
      <c r="D12" s="18">
        <v>0.33</v>
      </c>
      <c r="E12" s="18">
        <f t="shared" si="0"/>
        <v>0.5</v>
      </c>
      <c r="H12" s="18">
        <f t="shared" si="1"/>
        <v>0.5</v>
      </c>
    </row>
    <row r="13" spans="1:8" ht="34" x14ac:dyDescent="0.2">
      <c r="A13" s="32" t="s">
        <v>146</v>
      </c>
      <c r="B13" s="18"/>
      <c r="C13" s="18">
        <v>6.8181818181818177E-2</v>
      </c>
      <c r="D13" s="18">
        <v>0.47727272727272729</v>
      </c>
      <c r="E13" s="18">
        <f t="shared" si="0"/>
        <v>0.55000000000000004</v>
      </c>
      <c r="G13" s="18">
        <v>0.01</v>
      </c>
      <c r="H13" s="18">
        <f t="shared" si="1"/>
        <v>0.54545454545454541</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A4393-7BD3-7D43-89DA-872DC0951124}">
  <dimension ref="A2:H13"/>
  <sheetViews>
    <sheetView topLeftCell="A2" workbookViewId="0">
      <selection activeCell="A3" sqref="A3:E10"/>
    </sheetView>
  </sheetViews>
  <sheetFormatPr baseColWidth="10" defaultRowHeight="16" x14ac:dyDescent="0.2"/>
  <cols>
    <col min="1" max="1" width="22.5" customWidth="1"/>
  </cols>
  <sheetData>
    <row r="2" spans="1:8" ht="17" thickBot="1" x14ac:dyDescent="0.25"/>
    <row r="3" spans="1:8" ht="19" thickBot="1" x14ac:dyDescent="0.25">
      <c r="A3" s="15"/>
      <c r="B3" s="16" t="s">
        <v>122</v>
      </c>
      <c r="C3" s="16" t="s">
        <v>143</v>
      </c>
      <c r="D3" s="16" t="s">
        <v>203</v>
      </c>
      <c r="E3" s="16" t="s">
        <v>294</v>
      </c>
    </row>
    <row r="4" spans="1:8" ht="70" thickTop="1" thickBot="1" x14ac:dyDescent="0.25">
      <c r="A4" s="3" t="s">
        <v>98</v>
      </c>
      <c r="B4" s="4">
        <v>2</v>
      </c>
      <c r="C4" s="4">
        <v>17</v>
      </c>
      <c r="D4" s="4">
        <v>8</v>
      </c>
      <c r="E4" s="4">
        <v>18</v>
      </c>
      <c r="G4" s="119" t="s">
        <v>218</v>
      </c>
      <c r="H4" s="80">
        <v>1</v>
      </c>
    </row>
    <row r="5" spans="1:8" ht="37" thickBot="1" x14ac:dyDescent="0.25">
      <c r="A5" s="5" t="s">
        <v>97</v>
      </c>
      <c r="B5" s="6">
        <v>2</v>
      </c>
      <c r="C5" s="6">
        <v>0</v>
      </c>
      <c r="D5" s="6">
        <v>0</v>
      </c>
      <c r="E5" s="6">
        <v>0</v>
      </c>
      <c r="G5" s="120" t="s">
        <v>83</v>
      </c>
      <c r="H5" s="81">
        <v>2</v>
      </c>
    </row>
    <row r="6" spans="1:8" ht="86" thickBot="1" x14ac:dyDescent="0.25">
      <c r="A6" s="5" t="s">
        <v>308</v>
      </c>
      <c r="B6" s="6">
        <v>0</v>
      </c>
      <c r="C6" s="6">
        <v>0</v>
      </c>
      <c r="D6" s="6">
        <v>1</v>
      </c>
      <c r="E6" s="6">
        <v>1</v>
      </c>
      <c r="G6" s="120" t="s">
        <v>98</v>
      </c>
      <c r="H6" s="81">
        <v>18</v>
      </c>
    </row>
    <row r="7" spans="1:8" ht="37" thickBot="1" x14ac:dyDescent="0.25">
      <c r="A7" s="5" t="s">
        <v>133</v>
      </c>
      <c r="B7" s="6">
        <v>0</v>
      </c>
      <c r="C7" s="6">
        <v>0</v>
      </c>
      <c r="D7" s="6">
        <v>0</v>
      </c>
      <c r="E7" s="6">
        <v>0</v>
      </c>
      <c r="G7" s="120" t="s">
        <v>11</v>
      </c>
      <c r="H7" s="81">
        <v>1</v>
      </c>
    </row>
    <row r="8" spans="1:8" ht="19" thickBot="1" x14ac:dyDescent="0.25">
      <c r="A8" s="112" t="s">
        <v>83</v>
      </c>
      <c r="B8" s="121">
        <v>0</v>
      </c>
      <c r="C8" s="121">
        <v>0</v>
      </c>
      <c r="D8" s="121">
        <v>0</v>
      </c>
      <c r="E8" s="121">
        <v>2</v>
      </c>
      <c r="G8" s="122"/>
      <c r="H8" s="123"/>
    </row>
    <row r="9" spans="1:8" ht="19" thickBot="1" x14ac:dyDescent="0.25">
      <c r="A9" s="7" t="s">
        <v>11</v>
      </c>
      <c r="B9" s="8">
        <v>2</v>
      </c>
      <c r="C9" s="8">
        <v>3</v>
      </c>
      <c r="D9" s="8">
        <v>0</v>
      </c>
      <c r="E9" s="8">
        <v>1</v>
      </c>
    </row>
    <row r="10" spans="1:8" ht="20" thickTop="1" thickBot="1" x14ac:dyDescent="0.25">
      <c r="A10" s="9" t="s">
        <v>12</v>
      </c>
      <c r="B10" s="10">
        <v>6</v>
      </c>
      <c r="C10" s="10">
        <v>20</v>
      </c>
      <c r="D10" s="10">
        <v>9</v>
      </c>
      <c r="E10" s="10">
        <v>22</v>
      </c>
    </row>
    <row r="11" spans="1:8" x14ac:dyDescent="0.2">
      <c r="A11" s="23"/>
      <c r="B11" s="22"/>
    </row>
    <row r="12" spans="1:8" x14ac:dyDescent="0.2">
      <c r="A12" s="20"/>
      <c r="B12" s="21"/>
    </row>
    <row r="13" spans="1:8" x14ac:dyDescent="0.2">
      <c r="A13" s="20"/>
      <c r="B13" s="21"/>
    </row>
  </sheetData>
  <sortState xmlns:xlrd2="http://schemas.microsoft.com/office/spreadsheetml/2017/richdata2" ref="A4:E7">
    <sortCondition descending="1" ref="E4:E7"/>
  </sortState>
  <pageMargins left="0.7" right="0.7" top="0.75" bottom="0.75" header="0.3" footer="0.3"/>
  <pageSetup orientation="portrait" horizontalDpi="0" verticalDpi="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2044-E671-A54C-B480-295AB849E355}">
  <dimension ref="A1:P24"/>
  <sheetViews>
    <sheetView workbookViewId="0">
      <selection sqref="A1:E13"/>
    </sheetView>
  </sheetViews>
  <sheetFormatPr baseColWidth="10" defaultRowHeight="16" x14ac:dyDescent="0.2"/>
  <cols>
    <col min="1" max="1" width="28.6640625" customWidth="1"/>
    <col min="2" max="2" width="22.5" customWidth="1"/>
    <col min="7" max="7" width="21.5" customWidth="1"/>
  </cols>
  <sheetData>
    <row r="1" spans="1:16" ht="34" x14ac:dyDescent="0.2">
      <c r="A1" t="s">
        <v>42</v>
      </c>
      <c r="B1" s="17" t="s">
        <v>293</v>
      </c>
      <c r="C1" s="17" t="s">
        <v>194</v>
      </c>
      <c r="D1" s="17" t="s">
        <v>146</v>
      </c>
      <c r="E1" s="17" t="s">
        <v>124</v>
      </c>
      <c r="H1" t="s">
        <v>154</v>
      </c>
    </row>
    <row r="2" spans="1:16" x14ac:dyDescent="0.2">
      <c r="A2" t="s">
        <v>11</v>
      </c>
      <c r="B2" s="18"/>
      <c r="C2" s="18">
        <v>0.10526315789473684</v>
      </c>
      <c r="D2" s="18">
        <v>0.11363636363636363</v>
      </c>
      <c r="E2" s="19">
        <v>0.17</v>
      </c>
      <c r="G2" t="s">
        <v>47</v>
      </c>
      <c r="H2" s="18">
        <v>0.66666666666666663</v>
      </c>
      <c r="J2" s="18">
        <v>0.01</v>
      </c>
    </row>
    <row r="3" spans="1:16" x14ac:dyDescent="0.2">
      <c r="A3" t="s">
        <v>10</v>
      </c>
      <c r="B3" s="18"/>
      <c r="C3" s="18">
        <v>5.2631578947368418E-2</v>
      </c>
      <c r="D3" s="18">
        <v>6.8181818181818177E-2</v>
      </c>
      <c r="E3" s="19">
        <v>0.17</v>
      </c>
      <c r="G3" t="s">
        <v>309</v>
      </c>
      <c r="H3" s="18">
        <v>0.18181818181818185</v>
      </c>
    </row>
    <row r="4" spans="1:16" x14ac:dyDescent="0.2">
      <c r="A4" t="s">
        <v>99</v>
      </c>
      <c r="B4" s="18"/>
      <c r="C4" s="18"/>
      <c r="D4" s="18"/>
      <c r="E4" s="19"/>
      <c r="G4" t="s">
        <v>103</v>
      </c>
      <c r="H4" s="18">
        <v>6.0606060606060608E-2</v>
      </c>
      <c r="L4" t="s">
        <v>99</v>
      </c>
      <c r="M4" s="18"/>
      <c r="N4" s="18"/>
      <c r="O4" s="19"/>
      <c r="P4" s="19">
        <v>3.5714285714285712E-2</v>
      </c>
    </row>
    <row r="5" spans="1:16" ht="17" x14ac:dyDescent="0.2">
      <c r="A5" s="29" t="s">
        <v>102</v>
      </c>
      <c r="B5" s="18"/>
      <c r="C5" s="18"/>
      <c r="D5" s="18"/>
      <c r="E5" s="19">
        <v>0.08</v>
      </c>
      <c r="G5" t="s">
        <v>100</v>
      </c>
      <c r="H5" s="18">
        <v>9.0909090909090925E-2</v>
      </c>
      <c r="L5" s="29" t="s">
        <v>102</v>
      </c>
      <c r="M5" s="18"/>
      <c r="N5" s="18"/>
      <c r="O5" s="19">
        <v>0.08</v>
      </c>
      <c r="P5" s="19">
        <v>3.5714285714285712E-2</v>
      </c>
    </row>
    <row r="6" spans="1:16" x14ac:dyDescent="0.2">
      <c r="A6" t="s">
        <v>104</v>
      </c>
      <c r="B6" s="18"/>
      <c r="C6" s="18"/>
      <c r="D6" s="18">
        <v>2.2727272727272731E-2</v>
      </c>
      <c r="E6" s="19"/>
      <c r="H6" s="18"/>
      <c r="L6" t="s">
        <v>104</v>
      </c>
      <c r="M6" s="18"/>
      <c r="N6" s="18">
        <v>2.2727272727272731E-2</v>
      </c>
      <c r="O6" s="19"/>
      <c r="P6" s="19">
        <v>7.1428571428571425E-2</v>
      </c>
    </row>
    <row r="7" spans="1:16" x14ac:dyDescent="0.2">
      <c r="A7" t="s">
        <v>49</v>
      </c>
      <c r="B7" s="18"/>
      <c r="C7" s="18"/>
      <c r="D7" s="18">
        <v>9.0909090909090925E-2</v>
      </c>
      <c r="E7" s="19"/>
      <c r="H7" s="18"/>
      <c r="L7" s="30" t="s">
        <v>49</v>
      </c>
      <c r="M7" s="18"/>
      <c r="N7" s="18">
        <v>9.0909090909090925E-2</v>
      </c>
      <c r="O7" s="19"/>
      <c r="P7" s="19"/>
    </row>
    <row r="8" spans="1:16" x14ac:dyDescent="0.2">
      <c r="A8" t="s">
        <v>101</v>
      </c>
      <c r="B8" s="18"/>
      <c r="C8" s="18">
        <v>5.2631578947368418E-2</v>
      </c>
      <c r="D8" s="18"/>
      <c r="E8" s="19">
        <v>0.08</v>
      </c>
      <c r="H8" s="18"/>
      <c r="K8" s="18"/>
      <c r="L8" t="s">
        <v>105</v>
      </c>
      <c r="M8" s="18"/>
      <c r="N8" s="18">
        <v>0.18181818181818185</v>
      </c>
      <c r="O8" s="19"/>
      <c r="P8" s="19">
        <v>0.10714285714285714</v>
      </c>
    </row>
    <row r="9" spans="1:16" x14ac:dyDescent="0.2">
      <c r="A9" t="s">
        <v>53</v>
      </c>
      <c r="B9" s="18"/>
      <c r="C9" s="18">
        <v>5.2631578947368418E-2</v>
      </c>
      <c r="D9" s="62"/>
      <c r="E9" s="19"/>
      <c r="H9" s="18"/>
      <c r="K9" s="18"/>
      <c r="L9" t="s">
        <v>101</v>
      </c>
      <c r="M9" s="18">
        <v>5.2631578947368418E-2</v>
      </c>
      <c r="N9" s="18"/>
      <c r="O9" s="19">
        <v>0.08</v>
      </c>
      <c r="P9" s="19"/>
    </row>
    <row r="10" spans="1:16" x14ac:dyDescent="0.2">
      <c r="A10" t="s">
        <v>103</v>
      </c>
      <c r="B10" s="18">
        <v>6.0606060606060608E-2</v>
      </c>
      <c r="C10" s="18">
        <v>5.2631578947368418E-2</v>
      </c>
      <c r="D10" s="18">
        <v>2.2727272727272731E-2</v>
      </c>
      <c r="E10" s="19"/>
      <c r="H10" s="18"/>
      <c r="K10" s="18"/>
      <c r="L10" t="s">
        <v>103</v>
      </c>
      <c r="M10" s="18">
        <v>5.2631578947368418E-2</v>
      </c>
      <c r="N10" s="18">
        <v>2.2727272727272731E-2</v>
      </c>
      <c r="O10" s="19"/>
      <c r="P10" s="19">
        <v>0.2857142857142857</v>
      </c>
    </row>
    <row r="11" spans="1:16" x14ac:dyDescent="0.2">
      <c r="A11" t="s">
        <v>100</v>
      </c>
      <c r="B11" s="18">
        <v>9.0909090909090925E-2</v>
      </c>
      <c r="C11" s="18">
        <v>0.10526315789473684</v>
      </c>
      <c r="D11" s="18"/>
      <c r="E11" s="19"/>
      <c r="H11" s="18"/>
      <c r="J11" s="29"/>
      <c r="K11" s="18"/>
      <c r="L11" t="s">
        <v>53</v>
      </c>
      <c r="M11" s="18">
        <v>5.2631578947368418E-2</v>
      </c>
      <c r="N11" s="62"/>
      <c r="O11" s="19"/>
      <c r="P11" s="62"/>
    </row>
    <row r="12" spans="1:16" x14ac:dyDescent="0.2">
      <c r="A12" t="s">
        <v>105</v>
      </c>
      <c r="B12" s="18">
        <v>0.18181818181818185</v>
      </c>
      <c r="C12" s="18"/>
      <c r="D12" s="18">
        <v>0.18181818181818185</v>
      </c>
      <c r="E12" s="19"/>
      <c r="H12" s="18"/>
      <c r="K12" s="18"/>
      <c r="L12" t="s">
        <v>100</v>
      </c>
      <c r="M12" s="18">
        <v>0.10526315789473684</v>
      </c>
      <c r="N12" s="18"/>
      <c r="O12" s="19"/>
      <c r="P12" s="19">
        <v>3.5714285714285712E-2</v>
      </c>
    </row>
    <row r="13" spans="1:16" x14ac:dyDescent="0.2">
      <c r="A13" s="30" t="s">
        <v>47</v>
      </c>
      <c r="B13" s="18">
        <v>0.66666666666666663</v>
      </c>
      <c r="C13" s="18">
        <v>0.57894736842105265</v>
      </c>
      <c r="D13" s="18">
        <v>0.5</v>
      </c>
      <c r="E13" s="19">
        <v>0.5</v>
      </c>
      <c r="H13" s="18"/>
      <c r="K13" s="18"/>
      <c r="L13" t="s">
        <v>47</v>
      </c>
      <c r="M13" s="18">
        <v>0.57894736842105265</v>
      </c>
      <c r="N13" s="18">
        <v>0.5</v>
      </c>
      <c r="O13" s="19">
        <v>0.5</v>
      </c>
      <c r="P13" s="19">
        <v>0.39285714285714285</v>
      </c>
    </row>
    <row r="14" spans="1:16" x14ac:dyDescent="0.2">
      <c r="K14" s="18"/>
      <c r="L14" s="19"/>
      <c r="M14" s="19"/>
      <c r="N14" s="19"/>
    </row>
    <row r="15" spans="1:16" x14ac:dyDescent="0.2">
      <c r="K15" s="18"/>
      <c r="L15" s="19"/>
      <c r="M15" s="19"/>
      <c r="N15" s="19"/>
    </row>
    <row r="16" spans="1:16" x14ac:dyDescent="0.2">
      <c r="J16" s="30"/>
      <c r="K16" s="18"/>
      <c r="L16" s="19"/>
      <c r="M16" s="19"/>
      <c r="N16" s="19"/>
    </row>
    <row r="18" spans="1:6" ht="18" customHeight="1" x14ac:dyDescent="0.2">
      <c r="A18" t="s">
        <v>166</v>
      </c>
    </row>
    <row r="19" spans="1:6" x14ac:dyDescent="0.2">
      <c r="A19" t="s">
        <v>151</v>
      </c>
      <c r="C19" t="s">
        <v>154</v>
      </c>
      <c r="D19" t="s">
        <v>153</v>
      </c>
      <c r="F19" t="s">
        <v>155</v>
      </c>
    </row>
    <row r="20" spans="1:6" x14ac:dyDescent="0.2">
      <c r="A20" t="s">
        <v>156</v>
      </c>
      <c r="B20" t="s">
        <v>47</v>
      </c>
      <c r="C20">
        <v>66.666666666666657</v>
      </c>
      <c r="D20">
        <v>66.666666666666657</v>
      </c>
      <c r="F20">
        <v>66.666666666666657</v>
      </c>
    </row>
    <row r="21" spans="1:6" x14ac:dyDescent="0.2">
      <c r="B21" t="s">
        <v>309</v>
      </c>
      <c r="C21">
        <v>18.181818181818183</v>
      </c>
      <c r="D21">
        <v>18.181818181818183</v>
      </c>
      <c r="F21">
        <v>84.848484848484844</v>
      </c>
    </row>
    <row r="22" spans="1:6" x14ac:dyDescent="0.2">
      <c r="B22" t="s">
        <v>103</v>
      </c>
      <c r="C22">
        <v>6.0606060606060606</v>
      </c>
      <c r="D22">
        <v>6.0606060606060606</v>
      </c>
      <c r="F22">
        <v>90.909090909090907</v>
      </c>
    </row>
    <row r="23" spans="1:6" x14ac:dyDescent="0.2">
      <c r="B23" t="s">
        <v>100</v>
      </c>
      <c r="C23">
        <v>9.0909090909090917</v>
      </c>
      <c r="D23">
        <v>9.0909090909090917</v>
      </c>
      <c r="F23">
        <v>100</v>
      </c>
    </row>
    <row r="24" spans="1:6" x14ac:dyDescent="0.2">
      <c r="B24" t="s">
        <v>157</v>
      </c>
      <c r="C24">
        <v>100</v>
      </c>
      <c r="D24">
        <v>100</v>
      </c>
    </row>
  </sheetData>
  <sortState xmlns:xlrd2="http://schemas.microsoft.com/office/spreadsheetml/2017/richdata2" ref="A4:E9">
    <sortCondition ref="B4:B9"/>
  </sortState>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D1FA-9967-DB47-B346-A3E05CA36303}">
  <dimension ref="A1:K82"/>
  <sheetViews>
    <sheetView zoomScale="99" workbookViewId="0">
      <selection sqref="A1:E12"/>
    </sheetView>
  </sheetViews>
  <sheetFormatPr baseColWidth="10" defaultRowHeight="16" x14ac:dyDescent="0.2"/>
  <cols>
    <col min="1" max="1" width="35.5" customWidth="1"/>
    <col min="8" max="8" width="29.5" customWidth="1"/>
    <col min="9" max="9" width="26.5" customWidth="1"/>
  </cols>
  <sheetData>
    <row r="1" spans="1:11" ht="34" x14ac:dyDescent="0.2">
      <c r="A1" t="s">
        <v>42</v>
      </c>
      <c r="B1" s="17" t="s">
        <v>124</v>
      </c>
      <c r="C1" s="17" t="s">
        <v>146</v>
      </c>
      <c r="D1" s="17" t="s">
        <v>194</v>
      </c>
      <c r="E1" s="17" t="s">
        <v>293</v>
      </c>
      <c r="I1" t="s">
        <v>154</v>
      </c>
    </row>
    <row r="2" spans="1:11" x14ac:dyDescent="0.2">
      <c r="A2" t="s">
        <v>45</v>
      </c>
      <c r="B2" s="18">
        <v>0.42</v>
      </c>
      <c r="C2" s="18">
        <v>0.29545454545454547</v>
      </c>
      <c r="D2" s="18">
        <v>5.2631578947368418E-2</v>
      </c>
      <c r="E2" s="18">
        <v>0.48</v>
      </c>
      <c r="H2" t="s">
        <v>220</v>
      </c>
      <c r="I2" s="18">
        <v>9.0909090909090925E-2</v>
      </c>
      <c r="K2" s="18">
        <v>0.01</v>
      </c>
    </row>
    <row r="3" spans="1:11" x14ac:dyDescent="0.2">
      <c r="A3" t="s">
        <v>47</v>
      </c>
      <c r="B3" s="18">
        <v>0.17</v>
      </c>
      <c r="C3" s="18">
        <v>0.22727272727272727</v>
      </c>
      <c r="D3" s="18">
        <v>0.36842105263157893</v>
      </c>
      <c r="E3" s="18">
        <v>0.09</v>
      </c>
      <c r="H3" t="s">
        <v>46</v>
      </c>
      <c r="I3" s="18">
        <v>3.0303030303030304E-2</v>
      </c>
    </row>
    <row r="4" spans="1:11" x14ac:dyDescent="0.2">
      <c r="A4" t="s">
        <v>46</v>
      </c>
      <c r="B4" s="18">
        <v>0.08</v>
      </c>
      <c r="C4" s="18">
        <v>0.25</v>
      </c>
      <c r="D4" s="18">
        <v>5.2631578947368418E-2</v>
      </c>
      <c r="E4" s="18">
        <v>0.03</v>
      </c>
      <c r="H4" t="s">
        <v>51</v>
      </c>
      <c r="I4" s="18">
        <v>3.0303030303030304E-2</v>
      </c>
    </row>
    <row r="5" spans="1:11" x14ac:dyDescent="0.2">
      <c r="A5" t="s">
        <v>50</v>
      </c>
      <c r="B5" s="18"/>
      <c r="C5" s="18">
        <v>6.8181818181818177E-2</v>
      </c>
      <c r="D5" s="18">
        <v>5.2631578947368418E-2</v>
      </c>
      <c r="E5" s="18">
        <v>0.03</v>
      </c>
      <c r="H5" t="s">
        <v>50</v>
      </c>
      <c r="I5" s="18">
        <v>3.0303030303030304E-2</v>
      </c>
    </row>
    <row r="6" spans="1:11" x14ac:dyDescent="0.2">
      <c r="A6" t="s">
        <v>51</v>
      </c>
      <c r="B6" s="18"/>
      <c r="D6" s="18">
        <v>5.2631578947368418E-2</v>
      </c>
      <c r="E6" s="18">
        <v>0.03</v>
      </c>
      <c r="H6" t="s">
        <v>224</v>
      </c>
      <c r="I6" s="18">
        <v>0.48484848484848486</v>
      </c>
    </row>
    <row r="7" spans="1:11" x14ac:dyDescent="0.2">
      <c r="A7" t="s">
        <v>52</v>
      </c>
      <c r="B7" s="18"/>
      <c r="D7" s="18">
        <v>5.2631578947368418E-2</v>
      </c>
      <c r="E7" s="18"/>
      <c r="H7" t="s">
        <v>310</v>
      </c>
      <c r="I7" s="18">
        <v>0.33333333333333331</v>
      </c>
      <c r="K7">
        <f>6/19</f>
        <v>0.31578947368421051</v>
      </c>
    </row>
    <row r="8" spans="1:11" x14ac:dyDescent="0.2">
      <c r="A8" t="s">
        <v>48</v>
      </c>
      <c r="C8" s="18">
        <v>2.2727272727272731E-2</v>
      </c>
      <c r="K8">
        <f>7/19</f>
        <v>0.36842105263157893</v>
      </c>
    </row>
    <row r="9" spans="1:11" x14ac:dyDescent="0.2">
      <c r="A9" t="s">
        <v>54</v>
      </c>
      <c r="B9" s="19"/>
      <c r="C9" s="18">
        <v>2.2727272727272731E-2</v>
      </c>
    </row>
    <row r="10" spans="1:11" x14ac:dyDescent="0.2">
      <c r="A10" t="s">
        <v>53</v>
      </c>
      <c r="B10" s="18">
        <v>0.08</v>
      </c>
    </row>
    <row r="11" spans="1:11" x14ac:dyDescent="0.2">
      <c r="A11" t="s">
        <v>10</v>
      </c>
      <c r="B11" s="18">
        <v>0.08</v>
      </c>
      <c r="C11" s="19">
        <v>2.2727272727272728E-2</v>
      </c>
      <c r="D11" s="18">
        <v>0.05</v>
      </c>
      <c r="E11" s="18"/>
    </row>
    <row r="12" spans="1:11" x14ac:dyDescent="0.2">
      <c r="A12" t="s">
        <v>55</v>
      </c>
      <c r="B12" s="18">
        <v>0.17</v>
      </c>
      <c r="C12" s="18">
        <v>0.11363636363636363</v>
      </c>
      <c r="D12" s="19">
        <f>6/19</f>
        <v>0.31578947368421051</v>
      </c>
      <c r="E12" s="19">
        <v>0.33</v>
      </c>
    </row>
    <row r="13" spans="1:11" x14ac:dyDescent="0.2">
      <c r="B13" s="18"/>
      <c r="C13" s="18"/>
    </row>
    <row r="14" spans="1:11" x14ac:dyDescent="0.2">
      <c r="B14" s="18"/>
      <c r="C14" s="18"/>
    </row>
    <row r="15" spans="1:11" x14ac:dyDescent="0.2">
      <c r="B15" s="18"/>
      <c r="C15" s="18"/>
      <c r="H15" t="s">
        <v>51</v>
      </c>
      <c r="I15" s="18">
        <v>5.2631578947368418E-2</v>
      </c>
    </row>
    <row r="16" spans="1:11" x14ac:dyDescent="0.2">
      <c r="B16" s="18"/>
      <c r="C16" s="18"/>
      <c r="H16" t="s">
        <v>52</v>
      </c>
      <c r="I16" s="18">
        <v>5.2631578947368418E-2</v>
      </c>
    </row>
    <row r="17" spans="1:9" x14ac:dyDescent="0.2">
      <c r="B17" s="18"/>
      <c r="C17" s="18"/>
      <c r="D17" s="18"/>
      <c r="E17" s="19"/>
      <c r="H17" t="s">
        <v>225</v>
      </c>
      <c r="I17" s="19">
        <f>6/19</f>
        <v>0.31578947368421051</v>
      </c>
    </row>
    <row r="18" spans="1:9" x14ac:dyDescent="0.2">
      <c r="B18" s="18"/>
      <c r="C18" s="18"/>
      <c r="D18" s="19"/>
      <c r="E18" s="18"/>
      <c r="H18" t="s">
        <v>10</v>
      </c>
      <c r="I18" s="18">
        <v>0.05</v>
      </c>
    </row>
    <row r="24" spans="1:9" x14ac:dyDescent="0.2">
      <c r="C24" t="s">
        <v>154</v>
      </c>
      <c r="D24" t="s">
        <v>153</v>
      </c>
      <c r="E24" t="s">
        <v>154</v>
      </c>
      <c r="F24" t="s">
        <v>155</v>
      </c>
    </row>
    <row r="25" spans="1:9" x14ac:dyDescent="0.2">
      <c r="A25" t="s">
        <v>220</v>
      </c>
      <c r="B25" t="s">
        <v>162</v>
      </c>
      <c r="C25">
        <v>9.0909090909090917</v>
      </c>
      <c r="D25">
        <v>9.0909090909090917</v>
      </c>
      <c r="E25">
        <v>9.0909090909090917</v>
      </c>
      <c r="F25">
        <v>100</v>
      </c>
    </row>
    <row r="26" spans="1:9" x14ac:dyDescent="0.2">
      <c r="A26" t="s">
        <v>46</v>
      </c>
      <c r="B26" t="s">
        <v>162</v>
      </c>
      <c r="C26">
        <v>3.0303030303030303</v>
      </c>
      <c r="D26">
        <v>3.0303030303030303</v>
      </c>
      <c r="E26">
        <v>3.0303030303030303</v>
      </c>
      <c r="F26">
        <v>100</v>
      </c>
    </row>
    <row r="27" spans="1:9" x14ac:dyDescent="0.2">
      <c r="A27" t="s">
        <v>51</v>
      </c>
      <c r="B27" t="s">
        <v>162</v>
      </c>
      <c r="C27">
        <v>3.0303030303030303</v>
      </c>
      <c r="D27">
        <v>3.0303030303030303</v>
      </c>
      <c r="E27">
        <v>3.0303030303030303</v>
      </c>
      <c r="F27">
        <v>100</v>
      </c>
    </row>
    <row r="28" spans="1:9" x14ac:dyDescent="0.2">
      <c r="A28" t="s">
        <v>50</v>
      </c>
      <c r="B28" t="s">
        <v>162</v>
      </c>
      <c r="C28">
        <v>3.0303030303030303</v>
      </c>
      <c r="D28">
        <v>3.0303030303030303</v>
      </c>
      <c r="E28">
        <v>3.0303030303030303</v>
      </c>
      <c r="F28">
        <v>100</v>
      </c>
    </row>
    <row r="29" spans="1:9" x14ac:dyDescent="0.2">
      <c r="A29" t="s">
        <v>224</v>
      </c>
      <c r="B29" t="s">
        <v>162</v>
      </c>
      <c r="C29">
        <v>48.484848484848484</v>
      </c>
      <c r="D29">
        <v>48.484848484848484</v>
      </c>
      <c r="E29">
        <v>48.484848484848484</v>
      </c>
      <c r="F29">
        <v>100</v>
      </c>
    </row>
    <row r="30" spans="1:9" x14ac:dyDescent="0.2">
      <c r="A30" t="s">
        <v>310</v>
      </c>
      <c r="B30" t="s">
        <v>162</v>
      </c>
      <c r="C30">
        <v>33.333333333333329</v>
      </c>
      <c r="D30">
        <v>33.333333333333329</v>
      </c>
      <c r="E30">
        <v>33.333333333333329</v>
      </c>
      <c r="F30">
        <v>100</v>
      </c>
    </row>
    <row r="31" spans="1:9" x14ac:dyDescent="0.2">
      <c r="A31" t="s">
        <v>151</v>
      </c>
      <c r="B31" t="s">
        <v>157</v>
      </c>
      <c r="C31">
        <v>33</v>
      </c>
      <c r="D31">
        <v>100</v>
      </c>
      <c r="E31">
        <v>100</v>
      </c>
    </row>
    <row r="32" spans="1:9" x14ac:dyDescent="0.2">
      <c r="A32" t="s">
        <v>151</v>
      </c>
      <c r="B32" t="s">
        <v>157</v>
      </c>
      <c r="C32">
        <v>33</v>
      </c>
      <c r="D32">
        <v>100</v>
      </c>
      <c r="E32">
        <v>100</v>
      </c>
    </row>
    <row r="33" spans="1:6" x14ac:dyDescent="0.2">
      <c r="A33" t="s">
        <v>151</v>
      </c>
      <c r="B33" t="s">
        <v>157</v>
      </c>
      <c r="C33">
        <v>33</v>
      </c>
      <c r="D33">
        <v>100</v>
      </c>
      <c r="E33">
        <v>100</v>
      </c>
    </row>
    <row r="34" spans="1:6" x14ac:dyDescent="0.2">
      <c r="A34" t="s">
        <v>151</v>
      </c>
      <c r="B34" t="s">
        <v>157</v>
      </c>
      <c r="C34">
        <v>33</v>
      </c>
      <c r="D34">
        <v>100</v>
      </c>
      <c r="E34">
        <v>100</v>
      </c>
    </row>
    <row r="35" spans="1:6" x14ac:dyDescent="0.2">
      <c r="A35" t="s">
        <v>151</v>
      </c>
      <c r="B35" t="s">
        <v>157</v>
      </c>
      <c r="C35">
        <v>33</v>
      </c>
      <c r="D35">
        <v>100</v>
      </c>
      <c r="E35">
        <v>100</v>
      </c>
    </row>
    <row r="36" spans="1:6" x14ac:dyDescent="0.2">
      <c r="A36" t="s">
        <v>151</v>
      </c>
      <c r="B36" t="s">
        <v>157</v>
      </c>
      <c r="C36">
        <v>33</v>
      </c>
      <c r="D36">
        <v>100</v>
      </c>
      <c r="E36">
        <v>100</v>
      </c>
    </row>
    <row r="37" spans="1:6" x14ac:dyDescent="0.2">
      <c r="A37" t="s">
        <v>156</v>
      </c>
      <c r="B37" t="s">
        <v>157</v>
      </c>
      <c r="C37">
        <v>19</v>
      </c>
      <c r="D37">
        <v>100</v>
      </c>
      <c r="E37">
        <v>100</v>
      </c>
    </row>
    <row r="38" spans="1:6" x14ac:dyDescent="0.2">
      <c r="B38" t="s">
        <v>161</v>
      </c>
      <c r="C38">
        <v>30</v>
      </c>
      <c r="D38">
        <v>90.909090909090907</v>
      </c>
      <c r="E38">
        <v>90.909090909090907</v>
      </c>
      <c r="F38">
        <v>90.909090909090907</v>
      </c>
    </row>
    <row r="39" spans="1:6" x14ac:dyDescent="0.2">
      <c r="B39" t="s">
        <v>161</v>
      </c>
      <c r="C39">
        <v>33</v>
      </c>
      <c r="D39">
        <v>100</v>
      </c>
      <c r="E39">
        <v>100</v>
      </c>
      <c r="F39">
        <v>100</v>
      </c>
    </row>
    <row r="40" spans="1:6" x14ac:dyDescent="0.2">
      <c r="B40" t="s">
        <v>161</v>
      </c>
      <c r="C40">
        <v>33</v>
      </c>
      <c r="D40">
        <v>100</v>
      </c>
      <c r="E40">
        <v>100</v>
      </c>
      <c r="F40">
        <v>100</v>
      </c>
    </row>
    <row r="41" spans="1:6" x14ac:dyDescent="0.2">
      <c r="B41" t="s">
        <v>161</v>
      </c>
      <c r="C41">
        <v>32</v>
      </c>
      <c r="D41">
        <v>96.969696969696969</v>
      </c>
      <c r="E41">
        <v>96.969696969696969</v>
      </c>
      <c r="F41">
        <v>96.969696969696969</v>
      </c>
    </row>
    <row r="42" spans="1:6" x14ac:dyDescent="0.2">
      <c r="B42" t="s">
        <v>161</v>
      </c>
      <c r="C42">
        <v>33</v>
      </c>
      <c r="D42">
        <v>100</v>
      </c>
      <c r="E42">
        <v>100</v>
      </c>
      <c r="F42">
        <v>100</v>
      </c>
    </row>
    <row r="43" spans="1:6" x14ac:dyDescent="0.2">
      <c r="B43" t="s">
        <v>161</v>
      </c>
      <c r="C43">
        <v>33</v>
      </c>
      <c r="D43">
        <v>100</v>
      </c>
      <c r="E43">
        <v>100</v>
      </c>
      <c r="F43">
        <v>100</v>
      </c>
    </row>
    <row r="44" spans="1:6" x14ac:dyDescent="0.2">
      <c r="B44" t="s">
        <v>161</v>
      </c>
      <c r="C44">
        <v>32</v>
      </c>
      <c r="D44">
        <v>96.969696969696969</v>
      </c>
      <c r="E44">
        <v>96.969696969696969</v>
      </c>
      <c r="F44">
        <v>96.969696969696969</v>
      </c>
    </row>
    <row r="45" spans="1:6" x14ac:dyDescent="0.2">
      <c r="B45" t="s">
        <v>161</v>
      </c>
      <c r="C45">
        <v>32</v>
      </c>
      <c r="D45">
        <v>96.969696969696969</v>
      </c>
      <c r="E45">
        <v>96.969696969696969</v>
      </c>
      <c r="F45">
        <v>96.969696969696969</v>
      </c>
    </row>
    <row r="46" spans="1:6" x14ac:dyDescent="0.2">
      <c r="B46" t="s">
        <v>161</v>
      </c>
      <c r="C46">
        <v>33</v>
      </c>
      <c r="D46">
        <v>100</v>
      </c>
      <c r="E46">
        <v>100</v>
      </c>
      <c r="F46">
        <v>100</v>
      </c>
    </row>
    <row r="47" spans="1:6" x14ac:dyDescent="0.2">
      <c r="B47" t="s">
        <v>161</v>
      </c>
      <c r="C47">
        <v>17</v>
      </c>
      <c r="D47">
        <v>51.515151515151516</v>
      </c>
      <c r="E47">
        <v>51.515151515151516</v>
      </c>
      <c r="F47">
        <v>51.515151515151516</v>
      </c>
    </row>
    <row r="48" spans="1:6" x14ac:dyDescent="0.2">
      <c r="B48" t="s">
        <v>161</v>
      </c>
      <c r="C48">
        <v>33</v>
      </c>
      <c r="D48">
        <v>100</v>
      </c>
      <c r="E48">
        <v>100</v>
      </c>
      <c r="F48">
        <v>100</v>
      </c>
    </row>
    <row r="49" spans="1:6" x14ac:dyDescent="0.2">
      <c r="B49" t="s">
        <v>161</v>
      </c>
      <c r="C49">
        <v>22</v>
      </c>
      <c r="D49">
        <v>66.666666666666657</v>
      </c>
      <c r="E49">
        <v>66.666666666666657</v>
      </c>
      <c r="F49">
        <v>66.666666666666657</v>
      </c>
    </row>
    <row r="50" spans="1:6" x14ac:dyDescent="0.2">
      <c r="A50" t="s">
        <v>156</v>
      </c>
    </row>
    <row r="52" spans="1:6" x14ac:dyDescent="0.2">
      <c r="C52" t="s">
        <v>152</v>
      </c>
      <c r="D52" t="s">
        <v>153</v>
      </c>
      <c r="E52" t="s">
        <v>154</v>
      </c>
      <c r="F52" t="s">
        <v>155</v>
      </c>
    </row>
    <row r="53" spans="1:6" x14ac:dyDescent="0.2">
      <c r="A53" t="s">
        <v>221</v>
      </c>
    </row>
    <row r="54" spans="1:6" x14ac:dyDescent="0.2">
      <c r="A54" t="s">
        <v>151</v>
      </c>
    </row>
    <row r="55" spans="1:6" x14ac:dyDescent="0.2">
      <c r="A55" t="s">
        <v>156</v>
      </c>
      <c r="C55" t="s">
        <v>152</v>
      </c>
      <c r="D55" t="s">
        <v>153</v>
      </c>
      <c r="E55" t="s">
        <v>154</v>
      </c>
      <c r="F55" t="s">
        <v>155</v>
      </c>
    </row>
    <row r="56" spans="1:6" x14ac:dyDescent="0.2">
      <c r="A56" t="s">
        <v>222</v>
      </c>
    </row>
    <row r="57" spans="1:6" x14ac:dyDescent="0.2">
      <c r="A57" t="s">
        <v>151</v>
      </c>
    </row>
    <row r="58" spans="1:6" x14ac:dyDescent="0.2">
      <c r="A58" t="s">
        <v>156</v>
      </c>
      <c r="C58" t="s">
        <v>152</v>
      </c>
      <c r="D58" t="s">
        <v>153</v>
      </c>
      <c r="E58" t="s">
        <v>154</v>
      </c>
      <c r="F58" t="s">
        <v>155</v>
      </c>
    </row>
    <row r="59" spans="1:6" x14ac:dyDescent="0.2">
      <c r="A59" t="s">
        <v>156</v>
      </c>
    </row>
    <row r="61" spans="1:6" x14ac:dyDescent="0.2">
      <c r="C61" t="s">
        <v>152</v>
      </c>
      <c r="D61" t="s">
        <v>153</v>
      </c>
      <c r="E61" t="s">
        <v>154</v>
      </c>
      <c r="F61" t="s">
        <v>155</v>
      </c>
    </row>
    <row r="62" spans="1:6" x14ac:dyDescent="0.2">
      <c r="A62" t="s">
        <v>48</v>
      </c>
    </row>
    <row r="63" spans="1:6" x14ac:dyDescent="0.2">
      <c r="A63" t="s">
        <v>151</v>
      </c>
    </row>
    <row r="64" spans="1:6" x14ac:dyDescent="0.2">
      <c r="A64" t="s">
        <v>156</v>
      </c>
      <c r="C64" t="s">
        <v>152</v>
      </c>
      <c r="D64" t="s">
        <v>153</v>
      </c>
      <c r="E64" t="s">
        <v>154</v>
      </c>
      <c r="F64" t="s">
        <v>155</v>
      </c>
    </row>
    <row r="65" spans="1:6" x14ac:dyDescent="0.2">
      <c r="A65" t="s">
        <v>223</v>
      </c>
    </row>
    <row r="66" spans="1:6" x14ac:dyDescent="0.2">
      <c r="A66" t="s">
        <v>151</v>
      </c>
    </row>
    <row r="67" spans="1:6" x14ac:dyDescent="0.2">
      <c r="A67" t="s">
        <v>156</v>
      </c>
      <c r="C67" t="s">
        <v>152</v>
      </c>
      <c r="D67" t="s">
        <v>153</v>
      </c>
      <c r="E67" t="s">
        <v>154</v>
      </c>
      <c r="F67" t="s">
        <v>155</v>
      </c>
    </row>
    <row r="68" spans="1:6" x14ac:dyDescent="0.2">
      <c r="A68" t="s">
        <v>156</v>
      </c>
    </row>
    <row r="70" spans="1:6" x14ac:dyDescent="0.2">
      <c r="C70" t="s">
        <v>152</v>
      </c>
      <c r="D70" t="s">
        <v>153</v>
      </c>
      <c r="E70" t="s">
        <v>154</v>
      </c>
      <c r="F70" t="s">
        <v>155</v>
      </c>
    </row>
    <row r="71" spans="1:6" x14ac:dyDescent="0.2">
      <c r="A71" t="s">
        <v>156</v>
      </c>
    </row>
    <row r="73" spans="1:6" x14ac:dyDescent="0.2">
      <c r="C73" t="s">
        <v>152</v>
      </c>
      <c r="D73" t="s">
        <v>153</v>
      </c>
      <c r="E73" t="s">
        <v>154</v>
      </c>
      <c r="F73" t="s">
        <v>155</v>
      </c>
    </row>
    <row r="74" spans="1:6" x14ac:dyDescent="0.2">
      <c r="A74" t="s">
        <v>54</v>
      </c>
    </row>
    <row r="75" spans="1:6" x14ac:dyDescent="0.2">
      <c r="A75" t="s">
        <v>151</v>
      </c>
    </row>
    <row r="76" spans="1:6" x14ac:dyDescent="0.2">
      <c r="A76" t="s">
        <v>156</v>
      </c>
      <c r="C76" t="s">
        <v>152</v>
      </c>
      <c r="D76" t="s">
        <v>153</v>
      </c>
      <c r="E76" t="s">
        <v>154</v>
      </c>
      <c r="F76" t="s">
        <v>155</v>
      </c>
    </row>
    <row r="77" spans="1:6" x14ac:dyDescent="0.2">
      <c r="A77" t="s">
        <v>156</v>
      </c>
    </row>
    <row r="79" spans="1:6" x14ac:dyDescent="0.2">
      <c r="C79" t="s">
        <v>152</v>
      </c>
      <c r="D79" t="s">
        <v>153</v>
      </c>
      <c r="E79" t="s">
        <v>154</v>
      </c>
      <c r="F79" t="s">
        <v>155</v>
      </c>
    </row>
    <row r="80" spans="1:6" x14ac:dyDescent="0.2">
      <c r="A80" t="s">
        <v>52</v>
      </c>
    </row>
    <row r="81" spans="1:6" x14ac:dyDescent="0.2">
      <c r="A81" t="s">
        <v>151</v>
      </c>
    </row>
    <row r="82" spans="1:6" x14ac:dyDescent="0.2">
      <c r="A82" t="s">
        <v>156</v>
      </c>
      <c r="C82" t="s">
        <v>152</v>
      </c>
      <c r="D82" t="s">
        <v>153</v>
      </c>
      <c r="E82" t="s">
        <v>154</v>
      </c>
      <c r="F82" t="s">
        <v>155</v>
      </c>
    </row>
  </sheetData>
  <sortState xmlns:xlrd2="http://schemas.microsoft.com/office/spreadsheetml/2017/richdata2" ref="A2:E10">
    <sortCondition descending="1" ref="E2:E10"/>
  </sortState>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B3B8C-A15C-1249-9CB4-8048BE0F693C}">
  <dimension ref="A1:Q58"/>
  <sheetViews>
    <sheetView workbookViewId="0">
      <selection sqref="A1:A8"/>
    </sheetView>
  </sheetViews>
  <sheetFormatPr baseColWidth="10" defaultRowHeight="16" x14ac:dyDescent="0.2"/>
  <cols>
    <col min="1" max="1" width="22.83203125" customWidth="1"/>
    <col min="10" max="10" width="26.6640625" customWidth="1"/>
  </cols>
  <sheetData>
    <row r="1" spans="1:17" ht="34" x14ac:dyDescent="0.2">
      <c r="A1" s="17" t="s">
        <v>42</v>
      </c>
      <c r="B1" s="17" t="s">
        <v>124</v>
      </c>
      <c r="C1" s="17" t="s">
        <v>146</v>
      </c>
      <c r="D1" s="17" t="s">
        <v>194</v>
      </c>
      <c r="E1" s="17" t="s">
        <v>293</v>
      </c>
    </row>
    <row r="2" spans="1:17" ht="17" x14ac:dyDescent="0.2">
      <c r="A2" s="17" t="s">
        <v>106</v>
      </c>
      <c r="B2" s="18">
        <v>0.75</v>
      </c>
      <c r="C2" s="18">
        <v>0.70454545454545459</v>
      </c>
      <c r="D2" s="18">
        <v>0.63157894736842102</v>
      </c>
      <c r="E2" s="18">
        <v>0.75757575757575757</v>
      </c>
      <c r="I2" t="s">
        <v>53</v>
      </c>
      <c r="J2" s="18">
        <v>0.75757575757575757</v>
      </c>
      <c r="K2">
        <v>9.0909090909090917</v>
      </c>
      <c r="M2" s="18">
        <v>0.01</v>
      </c>
    </row>
    <row r="3" spans="1:17" ht="17" x14ac:dyDescent="0.2">
      <c r="A3" s="17" t="s">
        <v>108</v>
      </c>
      <c r="B3" s="18">
        <v>0.17</v>
      </c>
      <c r="C3" s="18">
        <v>0.13636363636363635</v>
      </c>
      <c r="D3" s="18">
        <v>0.21052631578947367</v>
      </c>
      <c r="E3" s="18">
        <v>0.45454545454545453</v>
      </c>
      <c r="I3" t="s">
        <v>227</v>
      </c>
      <c r="J3" s="18">
        <v>0.24242424242424243</v>
      </c>
      <c r="K3">
        <v>75.757575757575751</v>
      </c>
    </row>
    <row r="4" spans="1:17" ht="17" x14ac:dyDescent="0.2">
      <c r="A4" s="17" t="s">
        <v>107</v>
      </c>
      <c r="B4" s="18">
        <v>0.25</v>
      </c>
      <c r="C4" s="18">
        <v>0.15909090909090909</v>
      </c>
      <c r="D4" s="18">
        <v>0.31578947368421051</v>
      </c>
      <c r="E4" s="18">
        <v>0.24242424242424243</v>
      </c>
      <c r="I4" t="s">
        <v>108</v>
      </c>
      <c r="J4" s="18">
        <v>0.45454545454545453</v>
      </c>
      <c r="K4">
        <v>24.242424242424242</v>
      </c>
    </row>
    <row r="5" spans="1:17" ht="17" x14ac:dyDescent="0.2">
      <c r="A5" s="17" t="s">
        <v>110</v>
      </c>
      <c r="B5" s="18"/>
      <c r="D5" s="18"/>
      <c r="E5" s="18">
        <v>0.12121212121212122</v>
      </c>
      <c r="I5" t="s">
        <v>109</v>
      </c>
      <c r="J5" s="18">
        <v>9.0909090909090925E-2</v>
      </c>
      <c r="K5">
        <v>3.0303030303030303</v>
      </c>
    </row>
    <row r="6" spans="1:17" ht="17" x14ac:dyDescent="0.2">
      <c r="A6" s="17" t="s">
        <v>109</v>
      </c>
      <c r="B6" s="18"/>
      <c r="C6" s="18">
        <v>0.11363636363636363</v>
      </c>
      <c r="D6" s="18">
        <v>0.10526315789473684</v>
      </c>
      <c r="E6" s="18">
        <v>9.0909090909090925E-2</v>
      </c>
      <c r="I6" t="s">
        <v>220</v>
      </c>
      <c r="J6" s="18">
        <v>0.12121212121212122</v>
      </c>
      <c r="K6">
        <v>45.454545454545453</v>
      </c>
    </row>
    <row r="7" spans="1:17" ht="34" x14ac:dyDescent="0.2">
      <c r="A7" s="17" t="s">
        <v>228</v>
      </c>
      <c r="E7" s="18">
        <v>3.0303030303030304E-2</v>
      </c>
      <c r="I7" t="s">
        <v>228</v>
      </c>
      <c r="J7" s="18">
        <v>3.0303030303030304E-2</v>
      </c>
      <c r="K7">
        <v>12.121212121212121</v>
      </c>
    </row>
    <row r="8" spans="1:17" ht="17" x14ac:dyDescent="0.2">
      <c r="A8" s="17" t="s">
        <v>11</v>
      </c>
      <c r="B8" s="18"/>
      <c r="C8" s="18">
        <v>2.2727272727272731E-2</v>
      </c>
      <c r="D8" s="18">
        <v>5.2631578947368418E-2</v>
      </c>
      <c r="E8" s="18">
        <v>5.2631578947368418E-2</v>
      </c>
      <c r="J8" s="18"/>
    </row>
    <row r="14" spans="1:17" x14ac:dyDescent="0.2">
      <c r="A14" t="s">
        <v>109</v>
      </c>
      <c r="B14" t="s">
        <v>162</v>
      </c>
      <c r="C14">
        <v>9.0909090909090917</v>
      </c>
      <c r="D14">
        <v>9.0909090909090917</v>
      </c>
      <c r="F14" t="s">
        <v>155</v>
      </c>
    </row>
    <row r="15" spans="1:17" x14ac:dyDescent="0.2">
      <c r="A15" t="s">
        <v>53</v>
      </c>
      <c r="B15" t="s">
        <v>162</v>
      </c>
      <c r="C15">
        <v>75.757575757575751</v>
      </c>
      <c r="D15">
        <v>75.757575757575751</v>
      </c>
      <c r="F15">
        <v>90.909090909090907</v>
      </c>
      <c r="Q15" s="18"/>
    </row>
    <row r="16" spans="1:17" x14ac:dyDescent="0.2">
      <c r="A16" t="s">
        <v>227</v>
      </c>
      <c r="B16" t="s">
        <v>162</v>
      </c>
      <c r="C16">
        <v>24.242424242424242</v>
      </c>
      <c r="D16">
        <v>24.242424242424242</v>
      </c>
      <c r="F16">
        <v>100</v>
      </c>
    </row>
    <row r="17" spans="1:6" x14ac:dyDescent="0.2">
      <c r="A17" t="s">
        <v>228</v>
      </c>
      <c r="B17" t="s">
        <v>162</v>
      </c>
      <c r="C17">
        <v>3.0303030303030303</v>
      </c>
      <c r="D17">
        <v>3.0303030303030303</v>
      </c>
    </row>
    <row r="18" spans="1:6" x14ac:dyDescent="0.2">
      <c r="A18" t="s">
        <v>108</v>
      </c>
      <c r="B18" t="s">
        <v>162</v>
      </c>
      <c r="C18">
        <v>45.454545454545453</v>
      </c>
      <c r="D18">
        <v>45.454545454545453</v>
      </c>
    </row>
    <row r="19" spans="1:6" x14ac:dyDescent="0.2">
      <c r="A19" t="s">
        <v>220</v>
      </c>
      <c r="B19" t="s">
        <v>162</v>
      </c>
      <c r="C19">
        <v>12.121212121212121</v>
      </c>
      <c r="D19">
        <v>12.121212121212121</v>
      </c>
    </row>
    <row r="20" spans="1:6" x14ac:dyDescent="0.2">
      <c r="A20" t="s">
        <v>151</v>
      </c>
      <c r="B20" t="s">
        <v>157</v>
      </c>
      <c r="C20">
        <v>100</v>
      </c>
      <c r="D20">
        <v>100</v>
      </c>
      <c r="F20" t="s">
        <v>155</v>
      </c>
    </row>
    <row r="21" spans="1:6" x14ac:dyDescent="0.2">
      <c r="A21" t="s">
        <v>151</v>
      </c>
      <c r="B21" t="s">
        <v>157</v>
      </c>
      <c r="C21">
        <v>100</v>
      </c>
      <c r="D21">
        <v>100</v>
      </c>
      <c r="F21">
        <v>100</v>
      </c>
    </row>
    <row r="22" spans="1:6" x14ac:dyDescent="0.2">
      <c r="A22" t="s">
        <v>151</v>
      </c>
      <c r="B22" t="s">
        <v>157</v>
      </c>
      <c r="C22">
        <v>100</v>
      </c>
      <c r="D22">
        <v>100</v>
      </c>
    </row>
    <row r="23" spans="1:6" x14ac:dyDescent="0.2">
      <c r="A23" t="s">
        <v>151</v>
      </c>
      <c r="B23" t="s">
        <v>157</v>
      </c>
      <c r="C23">
        <v>100</v>
      </c>
      <c r="D23">
        <v>100</v>
      </c>
    </row>
    <row r="24" spans="1:6" x14ac:dyDescent="0.2">
      <c r="A24" t="s">
        <v>151</v>
      </c>
      <c r="B24" t="s">
        <v>157</v>
      </c>
      <c r="C24">
        <v>100</v>
      </c>
      <c r="D24">
        <v>100</v>
      </c>
      <c r="F24" t="s">
        <v>155</v>
      </c>
    </row>
    <row r="25" spans="1:6" x14ac:dyDescent="0.2">
      <c r="A25" t="s">
        <v>151</v>
      </c>
      <c r="B25" t="s">
        <v>157</v>
      </c>
      <c r="C25">
        <v>100</v>
      </c>
      <c r="D25">
        <v>100</v>
      </c>
      <c r="F25">
        <v>24.242424242424242</v>
      </c>
    </row>
    <row r="26" spans="1:6" x14ac:dyDescent="0.2">
      <c r="B26" t="s">
        <v>161</v>
      </c>
      <c r="C26">
        <v>90.909090909090907</v>
      </c>
      <c r="D26">
        <v>90.909090909090907</v>
      </c>
      <c r="F26">
        <v>100</v>
      </c>
    </row>
    <row r="27" spans="1:6" x14ac:dyDescent="0.2">
      <c r="B27" t="s">
        <v>161</v>
      </c>
      <c r="C27">
        <v>100</v>
      </c>
      <c r="D27">
        <v>100</v>
      </c>
    </row>
    <row r="28" spans="1:6" x14ac:dyDescent="0.2">
      <c r="B28" t="s">
        <v>161</v>
      </c>
      <c r="C28">
        <v>24.242424242424242</v>
      </c>
      <c r="D28">
        <v>24.242424242424242</v>
      </c>
    </row>
    <row r="29" spans="1:6" x14ac:dyDescent="0.2">
      <c r="B29" t="s">
        <v>161</v>
      </c>
      <c r="C29">
        <v>75.757575757575751</v>
      </c>
      <c r="D29">
        <v>75.757575757575751</v>
      </c>
    </row>
    <row r="30" spans="1:6" x14ac:dyDescent="0.2">
      <c r="B30" t="s">
        <v>161</v>
      </c>
      <c r="C30">
        <v>96.969696969696969</v>
      </c>
      <c r="D30">
        <v>96.969696969696969</v>
      </c>
      <c r="F30" t="s">
        <v>155</v>
      </c>
    </row>
    <row r="31" spans="1:6" x14ac:dyDescent="0.2">
      <c r="B31" t="s">
        <v>161</v>
      </c>
      <c r="C31">
        <v>54.54545454545454</v>
      </c>
      <c r="D31">
        <v>54.54545454545454</v>
      </c>
      <c r="F31">
        <v>75.757575757575751</v>
      </c>
    </row>
    <row r="32" spans="1:6" x14ac:dyDescent="0.2">
      <c r="B32" t="s">
        <v>161</v>
      </c>
      <c r="C32">
        <v>87.878787878787875</v>
      </c>
      <c r="D32">
        <v>87.878787878787875</v>
      </c>
      <c r="F32">
        <v>100</v>
      </c>
    </row>
    <row r="33" spans="1:6" x14ac:dyDescent="0.2">
      <c r="B33" t="s">
        <v>161</v>
      </c>
      <c r="C33">
        <v>100</v>
      </c>
      <c r="D33">
        <v>100</v>
      </c>
    </row>
    <row r="34" spans="1:6" x14ac:dyDescent="0.2">
      <c r="C34" t="s">
        <v>154</v>
      </c>
      <c r="D34" t="s">
        <v>153</v>
      </c>
    </row>
    <row r="35" spans="1:6" x14ac:dyDescent="0.2">
      <c r="A35" t="s">
        <v>156</v>
      </c>
    </row>
    <row r="36" spans="1:6" x14ac:dyDescent="0.2">
      <c r="F36" t="s">
        <v>155</v>
      </c>
    </row>
    <row r="37" spans="1:6" x14ac:dyDescent="0.2">
      <c r="C37" t="s">
        <v>154</v>
      </c>
      <c r="D37" t="s">
        <v>153</v>
      </c>
      <c r="F37">
        <v>96.969696969696969</v>
      </c>
    </row>
    <row r="38" spans="1:6" x14ac:dyDescent="0.2">
      <c r="A38" t="s">
        <v>226</v>
      </c>
      <c r="F38">
        <v>100</v>
      </c>
    </row>
    <row r="39" spans="1:6" x14ac:dyDescent="0.2">
      <c r="A39" t="s">
        <v>151</v>
      </c>
    </row>
    <row r="40" spans="1:6" x14ac:dyDescent="0.2">
      <c r="A40" t="s">
        <v>156</v>
      </c>
      <c r="C40" t="s">
        <v>154</v>
      </c>
      <c r="D40" t="s">
        <v>153</v>
      </c>
    </row>
    <row r="41" spans="1:6" x14ac:dyDescent="0.2">
      <c r="A41" t="s">
        <v>156</v>
      </c>
    </row>
    <row r="42" spans="1:6" x14ac:dyDescent="0.2">
      <c r="F42" t="s">
        <v>155</v>
      </c>
    </row>
    <row r="43" spans="1:6" x14ac:dyDescent="0.2">
      <c r="C43" t="s">
        <v>154</v>
      </c>
      <c r="D43" t="s">
        <v>153</v>
      </c>
      <c r="F43">
        <v>54.54545454545454</v>
      </c>
    </row>
    <row r="44" spans="1:6" x14ac:dyDescent="0.2">
      <c r="A44" t="s">
        <v>156</v>
      </c>
      <c r="F44">
        <v>100</v>
      </c>
    </row>
    <row r="46" spans="1:6" x14ac:dyDescent="0.2">
      <c r="C46" t="s">
        <v>154</v>
      </c>
      <c r="D46" t="s">
        <v>153</v>
      </c>
    </row>
    <row r="47" spans="1:6" x14ac:dyDescent="0.2">
      <c r="A47" t="s">
        <v>156</v>
      </c>
    </row>
    <row r="48" spans="1:6" x14ac:dyDescent="0.2">
      <c r="F48" t="s">
        <v>155</v>
      </c>
    </row>
    <row r="49" spans="1:6" x14ac:dyDescent="0.2">
      <c r="C49" t="s">
        <v>154</v>
      </c>
      <c r="D49" t="s">
        <v>153</v>
      </c>
      <c r="F49">
        <v>87.878787878787875</v>
      </c>
    </row>
    <row r="50" spans="1:6" x14ac:dyDescent="0.2">
      <c r="A50" t="s">
        <v>156</v>
      </c>
      <c r="F50">
        <v>100</v>
      </c>
    </row>
    <row r="52" spans="1:6" x14ac:dyDescent="0.2">
      <c r="C52" t="s">
        <v>154</v>
      </c>
      <c r="D52" t="s">
        <v>153</v>
      </c>
    </row>
    <row r="53" spans="1:6" x14ac:dyDescent="0.2">
      <c r="A53" t="s">
        <v>156</v>
      </c>
    </row>
    <row r="54" spans="1:6" x14ac:dyDescent="0.2">
      <c r="F54" t="s">
        <v>155</v>
      </c>
    </row>
    <row r="55" spans="1:6" x14ac:dyDescent="0.2">
      <c r="C55" t="s">
        <v>154</v>
      </c>
      <c r="D55" t="s">
        <v>153</v>
      </c>
      <c r="F55">
        <v>100</v>
      </c>
    </row>
    <row r="56" spans="1:6" x14ac:dyDescent="0.2">
      <c r="A56" t="s">
        <v>219</v>
      </c>
    </row>
    <row r="57" spans="1:6" x14ac:dyDescent="0.2">
      <c r="A57" t="s">
        <v>151</v>
      </c>
    </row>
    <row r="58" spans="1:6" x14ac:dyDescent="0.2">
      <c r="A58" t="s">
        <v>156</v>
      </c>
    </row>
  </sheetData>
  <sortState xmlns:xlrd2="http://schemas.microsoft.com/office/spreadsheetml/2017/richdata2" ref="A2:E7">
    <sortCondition descending="1" ref="E2:E7"/>
  </sortState>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7937-F868-884C-A6B1-10C54ADDED5F}">
  <dimension ref="A1:J35"/>
  <sheetViews>
    <sheetView workbookViewId="0">
      <selection sqref="A1:E11"/>
    </sheetView>
  </sheetViews>
  <sheetFormatPr baseColWidth="10" defaultRowHeight="16" x14ac:dyDescent="0.2"/>
  <cols>
    <col min="1" max="1" width="23.6640625" customWidth="1"/>
    <col min="2" max="2" width="28.5" customWidth="1"/>
    <col min="9" max="9" width="35.5" customWidth="1"/>
  </cols>
  <sheetData>
    <row r="1" spans="1:10" ht="19" thickBot="1" x14ac:dyDescent="0.25">
      <c r="A1" s="15"/>
      <c r="B1" s="16" t="s">
        <v>122</v>
      </c>
      <c r="C1" s="16" t="s">
        <v>143</v>
      </c>
      <c r="D1" s="16" t="s">
        <v>203</v>
      </c>
      <c r="E1" s="16" t="s">
        <v>294</v>
      </c>
      <c r="J1" t="s">
        <v>152</v>
      </c>
    </row>
    <row r="2" spans="1:10" ht="56" thickTop="1" thickBot="1" x14ac:dyDescent="0.25">
      <c r="A2" s="3" t="s">
        <v>56</v>
      </c>
      <c r="B2" s="56">
        <v>3</v>
      </c>
      <c r="C2" s="56">
        <v>8</v>
      </c>
      <c r="D2" s="56">
        <v>2</v>
      </c>
      <c r="E2" s="56">
        <v>10</v>
      </c>
      <c r="I2" t="s">
        <v>57</v>
      </c>
      <c r="J2">
        <v>8</v>
      </c>
    </row>
    <row r="3" spans="1:10" ht="37" thickBot="1" x14ac:dyDescent="0.25">
      <c r="A3" s="5" t="s">
        <v>57</v>
      </c>
      <c r="B3" s="57">
        <v>6</v>
      </c>
      <c r="C3" s="57">
        <v>27</v>
      </c>
      <c r="D3" s="57">
        <v>10</v>
      </c>
      <c r="E3" s="57">
        <v>8</v>
      </c>
      <c r="I3" t="s">
        <v>56</v>
      </c>
      <c r="J3">
        <v>10</v>
      </c>
    </row>
    <row r="4" spans="1:10" ht="19" thickBot="1" x14ac:dyDescent="0.25">
      <c r="A4" s="5" t="s">
        <v>111</v>
      </c>
      <c r="B4" s="6">
        <v>0</v>
      </c>
      <c r="C4" s="6">
        <v>0</v>
      </c>
      <c r="D4" s="6">
        <v>0</v>
      </c>
      <c r="E4" s="6">
        <v>7</v>
      </c>
      <c r="I4" t="s">
        <v>59</v>
      </c>
      <c r="J4">
        <v>1</v>
      </c>
    </row>
    <row r="5" spans="1:10" ht="19" thickBot="1" x14ac:dyDescent="0.25">
      <c r="A5" s="5" t="s">
        <v>58</v>
      </c>
      <c r="B5" s="57">
        <v>0</v>
      </c>
      <c r="C5" s="57">
        <v>0</v>
      </c>
      <c r="D5" s="57">
        <v>1</v>
      </c>
      <c r="E5" s="57">
        <v>2</v>
      </c>
      <c r="I5" t="s">
        <v>58</v>
      </c>
      <c r="J5">
        <v>2</v>
      </c>
    </row>
    <row r="6" spans="1:10" ht="19" thickBot="1" x14ac:dyDescent="0.25">
      <c r="A6" s="5" t="s">
        <v>59</v>
      </c>
      <c r="B6" s="57">
        <v>1</v>
      </c>
      <c r="C6" s="57">
        <v>4</v>
      </c>
      <c r="D6" s="57">
        <v>3</v>
      </c>
      <c r="E6" s="57">
        <v>1</v>
      </c>
      <c r="I6" t="s">
        <v>60</v>
      </c>
      <c r="J6">
        <v>1</v>
      </c>
    </row>
    <row r="7" spans="1:10" ht="19" thickBot="1" x14ac:dyDescent="0.25">
      <c r="A7" s="5" t="s">
        <v>60</v>
      </c>
      <c r="B7" s="57">
        <v>0</v>
      </c>
      <c r="C7" s="57">
        <v>2</v>
      </c>
      <c r="D7" s="57">
        <v>0</v>
      </c>
      <c r="E7" s="57">
        <v>1</v>
      </c>
      <c r="I7" t="s">
        <v>62</v>
      </c>
      <c r="J7">
        <v>4</v>
      </c>
    </row>
    <row r="8" spans="1:10" ht="19" thickBot="1" x14ac:dyDescent="0.25">
      <c r="A8" s="5" t="s">
        <v>62</v>
      </c>
      <c r="B8" s="57">
        <v>2</v>
      </c>
      <c r="C8" s="57">
        <v>3</v>
      </c>
      <c r="D8" s="57">
        <v>1</v>
      </c>
      <c r="E8" s="57">
        <v>1</v>
      </c>
      <c r="I8" t="s">
        <v>10</v>
      </c>
      <c r="J8">
        <v>7</v>
      </c>
    </row>
    <row r="9" spans="1:10" ht="19" thickBot="1" x14ac:dyDescent="0.25">
      <c r="A9" s="5" t="s">
        <v>61</v>
      </c>
      <c r="B9" s="57">
        <v>0</v>
      </c>
      <c r="C9" s="57">
        <v>0</v>
      </c>
      <c r="D9" s="57">
        <v>2</v>
      </c>
      <c r="E9" s="57">
        <v>0</v>
      </c>
      <c r="I9" t="s">
        <v>11</v>
      </c>
      <c r="J9">
        <v>1</v>
      </c>
    </row>
    <row r="10" spans="1:10" ht="19" thickBot="1" x14ac:dyDescent="0.25">
      <c r="A10" s="5" t="s">
        <v>11</v>
      </c>
      <c r="B10" s="57">
        <v>0</v>
      </c>
      <c r="C10" s="57">
        <v>1</v>
      </c>
      <c r="D10" s="57">
        <v>2</v>
      </c>
      <c r="E10" s="57">
        <v>1</v>
      </c>
    </row>
    <row r="11" spans="1:10" ht="20" thickTop="1" thickBot="1" x14ac:dyDescent="0.25">
      <c r="A11" s="9" t="s">
        <v>12</v>
      </c>
      <c r="B11" s="10">
        <v>12</v>
      </c>
      <c r="C11" s="10">
        <v>44</v>
      </c>
      <c r="D11" s="10">
        <v>19</v>
      </c>
      <c r="E11" s="10">
        <v>33</v>
      </c>
    </row>
    <row r="17" spans="1:6" x14ac:dyDescent="0.2">
      <c r="A17" t="s">
        <v>167</v>
      </c>
    </row>
    <row r="18" spans="1:6" x14ac:dyDescent="0.2">
      <c r="A18" t="s">
        <v>151</v>
      </c>
      <c r="C18" t="s">
        <v>152</v>
      </c>
      <c r="D18" t="s">
        <v>153</v>
      </c>
      <c r="E18" t="s">
        <v>154</v>
      </c>
    </row>
    <row r="19" spans="1:6" x14ac:dyDescent="0.2">
      <c r="A19" t="s">
        <v>156</v>
      </c>
      <c r="B19" t="s">
        <v>57</v>
      </c>
      <c r="C19">
        <v>8</v>
      </c>
      <c r="D19">
        <v>21.212121212121211</v>
      </c>
      <c r="E19">
        <v>21.212121212121211</v>
      </c>
      <c r="F19" t="s">
        <v>155</v>
      </c>
    </row>
    <row r="20" spans="1:6" x14ac:dyDescent="0.2">
      <c r="B20" t="s">
        <v>56</v>
      </c>
      <c r="C20">
        <v>10</v>
      </c>
      <c r="D20">
        <v>30.303030303030305</v>
      </c>
      <c r="E20">
        <v>30.303030303030305</v>
      </c>
      <c r="F20">
        <v>21.212121212121211</v>
      </c>
    </row>
    <row r="21" spans="1:6" x14ac:dyDescent="0.2">
      <c r="B21" t="s">
        <v>59</v>
      </c>
      <c r="C21">
        <v>1</v>
      </c>
      <c r="D21">
        <v>3.0303030303030303</v>
      </c>
      <c r="E21">
        <v>3.0303030303030303</v>
      </c>
      <c r="F21">
        <v>51.515151515151516</v>
      </c>
    </row>
    <row r="22" spans="1:6" x14ac:dyDescent="0.2">
      <c r="B22" t="s">
        <v>58</v>
      </c>
      <c r="C22">
        <v>2</v>
      </c>
      <c r="D22">
        <v>6.0606060606060606</v>
      </c>
      <c r="E22">
        <v>6.0606060606060606</v>
      </c>
      <c r="F22">
        <v>54.54545454545454</v>
      </c>
    </row>
    <row r="23" spans="1:6" x14ac:dyDescent="0.2">
      <c r="B23" t="s">
        <v>60</v>
      </c>
      <c r="C23">
        <v>1</v>
      </c>
      <c r="D23">
        <v>3.0303030303030303</v>
      </c>
      <c r="E23">
        <v>3.0303030303030303</v>
      </c>
      <c r="F23">
        <v>60.606060606060609</v>
      </c>
    </row>
    <row r="24" spans="1:6" x14ac:dyDescent="0.2">
      <c r="B24" t="s">
        <v>62</v>
      </c>
      <c r="C24">
        <v>4</v>
      </c>
      <c r="D24">
        <v>12.121212121212121</v>
      </c>
      <c r="E24">
        <v>12.121212121212121</v>
      </c>
      <c r="F24">
        <v>63.636363636363633</v>
      </c>
    </row>
    <row r="25" spans="1:6" x14ac:dyDescent="0.2">
      <c r="B25" t="s">
        <v>10</v>
      </c>
      <c r="C25">
        <v>7</v>
      </c>
      <c r="D25">
        <v>21.212121212121211</v>
      </c>
      <c r="E25">
        <v>21.212121212121211</v>
      </c>
      <c r="F25">
        <v>75.757575757575751</v>
      </c>
    </row>
    <row r="26" spans="1:6" x14ac:dyDescent="0.2">
      <c r="B26" t="s">
        <v>11</v>
      </c>
      <c r="C26">
        <v>1</v>
      </c>
      <c r="D26">
        <v>3.0303030303030303</v>
      </c>
      <c r="E26">
        <v>3.0303030303030303</v>
      </c>
      <c r="F26">
        <v>96.969696969696969</v>
      </c>
    </row>
    <row r="27" spans="1:6" x14ac:dyDescent="0.2">
      <c r="B27" t="s">
        <v>157</v>
      </c>
      <c r="C27">
        <v>33</v>
      </c>
      <c r="D27">
        <v>100</v>
      </c>
      <c r="E27">
        <v>100</v>
      </c>
      <c r="F27">
        <v>100</v>
      </c>
    </row>
    <row r="29" spans="1:6" x14ac:dyDescent="0.2">
      <c r="A29" t="s">
        <v>167</v>
      </c>
    </row>
    <row r="30" spans="1:6" x14ac:dyDescent="0.2">
      <c r="A30" t="s">
        <v>151</v>
      </c>
      <c r="C30" t="s">
        <v>152</v>
      </c>
      <c r="D30" t="s">
        <v>153</v>
      </c>
      <c r="E30" t="s">
        <v>154</v>
      </c>
    </row>
    <row r="31" spans="1:6" x14ac:dyDescent="0.2">
      <c r="A31" t="s">
        <v>156</v>
      </c>
      <c r="B31" t="s">
        <v>57</v>
      </c>
      <c r="C31">
        <v>1</v>
      </c>
      <c r="D31">
        <v>3.0303030303030303</v>
      </c>
      <c r="E31">
        <v>100</v>
      </c>
      <c r="F31" t="s">
        <v>155</v>
      </c>
    </row>
    <row r="32" spans="1:6" x14ac:dyDescent="0.2">
      <c r="A32" t="s">
        <v>159</v>
      </c>
      <c r="B32" t="s">
        <v>160</v>
      </c>
      <c r="C32">
        <v>32</v>
      </c>
      <c r="D32">
        <v>96.969696969696969</v>
      </c>
      <c r="F32">
        <v>100</v>
      </c>
    </row>
    <row r="33" spans="1:6" x14ac:dyDescent="0.2">
      <c r="A33" t="s">
        <v>157</v>
      </c>
      <c r="C33">
        <v>33</v>
      </c>
      <c r="D33">
        <v>100</v>
      </c>
    </row>
    <row r="34" spans="1:6" x14ac:dyDescent="0.2">
      <c r="A34" t="s">
        <v>157</v>
      </c>
      <c r="C34">
        <v>19</v>
      </c>
      <c r="D34">
        <v>100</v>
      </c>
    </row>
    <row r="35" spans="1:6" x14ac:dyDescent="0.2">
      <c r="F35" t="s">
        <v>155</v>
      </c>
    </row>
  </sheetData>
  <sortState xmlns:xlrd2="http://schemas.microsoft.com/office/spreadsheetml/2017/richdata2" ref="A2:E9">
    <sortCondition descending="1" ref="E2:E9"/>
  </sortState>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BC477-7E37-C840-A5CA-41ADC9759E1E}">
  <dimension ref="A1:I5"/>
  <sheetViews>
    <sheetView workbookViewId="0">
      <selection sqref="A1:D5"/>
    </sheetView>
  </sheetViews>
  <sheetFormatPr baseColWidth="10" defaultRowHeight="16" x14ac:dyDescent="0.2"/>
  <sheetData>
    <row r="1" spans="1:9" x14ac:dyDescent="0.2">
      <c r="A1" t="s">
        <v>42</v>
      </c>
      <c r="B1" t="s">
        <v>85</v>
      </c>
      <c r="C1" t="s">
        <v>86</v>
      </c>
      <c r="D1" t="s">
        <v>87</v>
      </c>
      <c r="E1" t="s">
        <v>147</v>
      </c>
      <c r="H1" t="s">
        <v>148</v>
      </c>
    </row>
    <row r="2" spans="1:9" ht="34" x14ac:dyDescent="0.2">
      <c r="A2" s="17" t="s">
        <v>124</v>
      </c>
      <c r="B2" s="18">
        <v>0.08</v>
      </c>
      <c r="C2" s="18">
        <v>0.08</v>
      </c>
      <c r="D2" s="18">
        <v>0.67</v>
      </c>
      <c r="E2" s="18">
        <f t="shared" ref="E2:E5" si="0">SUM(ROUND(B2,2),ROUND(C2,2),ROUND(D2,2))</f>
        <v>0.83000000000000007</v>
      </c>
      <c r="H2" s="18">
        <f>SUM(B2:D2)</f>
        <v>0.83000000000000007</v>
      </c>
    </row>
    <row r="3" spans="1:9" ht="34" x14ac:dyDescent="0.2">
      <c r="A3" s="17" t="s">
        <v>146</v>
      </c>
      <c r="B3" s="18">
        <v>0.11363636363636363</v>
      </c>
      <c r="C3" s="18">
        <v>0.20454545454545459</v>
      </c>
      <c r="D3" s="18">
        <v>0.56818181818181823</v>
      </c>
      <c r="E3" s="18">
        <f t="shared" si="0"/>
        <v>0.87999999999999989</v>
      </c>
      <c r="H3" s="18">
        <f t="shared" ref="H3:H5" si="1">SUM(B3:D3)</f>
        <v>0.88636363636363646</v>
      </c>
    </row>
    <row r="4" spans="1:9" ht="34" x14ac:dyDescent="0.2">
      <c r="A4" s="17" t="s">
        <v>194</v>
      </c>
      <c r="B4" s="18">
        <v>0.36842105263157893</v>
      </c>
      <c r="C4" s="18">
        <v>5.2631578947368418E-2</v>
      </c>
      <c r="D4" s="18">
        <v>0.47368421052631576</v>
      </c>
      <c r="E4" s="18">
        <f t="shared" si="0"/>
        <v>0.8899999999999999</v>
      </c>
      <c r="H4" s="18">
        <f t="shared" si="1"/>
        <v>0.89473684210526305</v>
      </c>
      <c r="I4" s="18">
        <v>0.01</v>
      </c>
    </row>
    <row r="5" spans="1:9" ht="34" x14ac:dyDescent="0.2">
      <c r="A5" s="17" t="s">
        <v>293</v>
      </c>
      <c r="B5" s="18">
        <v>0.24242424242424243</v>
      </c>
      <c r="C5" s="18">
        <v>9.0909090909090925E-2</v>
      </c>
      <c r="D5" s="18">
        <v>0.48484848484848486</v>
      </c>
      <c r="E5" s="18">
        <f t="shared" si="0"/>
        <v>0.80999999999999994</v>
      </c>
      <c r="H5" s="18">
        <f t="shared" si="1"/>
        <v>0.81818181818181823</v>
      </c>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3D0E-ACCA-0B4F-99A4-BBD088CCD635}">
  <dimension ref="A1:K18"/>
  <sheetViews>
    <sheetView workbookViewId="0">
      <selection sqref="A1:E5"/>
    </sheetView>
  </sheetViews>
  <sheetFormatPr baseColWidth="10" defaultRowHeight="16" x14ac:dyDescent="0.2"/>
  <cols>
    <col min="1" max="1" width="29.5" customWidth="1"/>
    <col min="7" max="7" width="26.5" customWidth="1"/>
  </cols>
  <sheetData>
    <row r="1" spans="1:11" ht="32" x14ac:dyDescent="0.2">
      <c r="A1" s="24" t="s">
        <v>42</v>
      </c>
      <c r="B1" s="25" t="s">
        <v>124</v>
      </c>
      <c r="C1" s="25" t="s">
        <v>146</v>
      </c>
      <c r="D1" s="25" t="s">
        <v>194</v>
      </c>
      <c r="E1" s="25" t="s">
        <v>293</v>
      </c>
      <c r="H1" t="s">
        <v>154</v>
      </c>
    </row>
    <row r="2" spans="1:11" x14ac:dyDescent="0.2">
      <c r="A2" s="24" t="s">
        <v>112</v>
      </c>
      <c r="B2" s="26">
        <v>0.5</v>
      </c>
      <c r="C2" s="18">
        <v>0.43181818181818182</v>
      </c>
      <c r="D2" s="18">
        <v>0.42105263157894735</v>
      </c>
      <c r="E2" s="18">
        <v>0.3636363636363637</v>
      </c>
      <c r="G2" t="s">
        <v>112</v>
      </c>
      <c r="H2" s="18">
        <v>0.3636363636363637</v>
      </c>
    </row>
    <row r="3" spans="1:11" x14ac:dyDescent="0.2">
      <c r="A3" s="24" t="s">
        <v>114</v>
      </c>
      <c r="B3" s="26"/>
      <c r="C3" s="18">
        <v>0.18181818181818185</v>
      </c>
      <c r="D3" s="18">
        <v>0.15789473684210525</v>
      </c>
      <c r="E3" s="18">
        <v>0.21212121212121213</v>
      </c>
      <c r="G3" t="s">
        <v>168</v>
      </c>
      <c r="H3" s="18">
        <v>0.21212121212121213</v>
      </c>
    </row>
    <row r="4" spans="1:11" x14ac:dyDescent="0.2">
      <c r="A4" s="24" t="s">
        <v>113</v>
      </c>
      <c r="B4" s="26">
        <v>0.25</v>
      </c>
      <c r="C4" s="18">
        <v>0.20454545454545459</v>
      </c>
      <c r="D4" s="18">
        <v>0.10526315789473684</v>
      </c>
      <c r="E4" s="18">
        <v>0.24242424242424243</v>
      </c>
      <c r="G4" t="s">
        <v>113</v>
      </c>
      <c r="H4" s="18">
        <v>0.24242424242424243</v>
      </c>
    </row>
    <row r="5" spans="1:11" x14ac:dyDescent="0.2">
      <c r="A5" s="24" t="s">
        <v>115</v>
      </c>
      <c r="B5" s="26">
        <v>0.25</v>
      </c>
      <c r="C5" s="18">
        <v>0.18181818181818185</v>
      </c>
      <c r="D5" s="18">
        <v>0.31578947368421051</v>
      </c>
      <c r="E5" s="18">
        <v>0.18181818181818185</v>
      </c>
      <c r="G5" t="s">
        <v>169</v>
      </c>
      <c r="H5" s="18">
        <v>0.18181818181818185</v>
      </c>
    </row>
    <row r="8" spans="1:11" x14ac:dyDescent="0.2">
      <c r="K8" s="18">
        <v>0.01</v>
      </c>
    </row>
    <row r="12" spans="1:11" x14ac:dyDescent="0.2">
      <c r="A12" t="s">
        <v>229</v>
      </c>
    </row>
    <row r="13" spans="1:11" x14ac:dyDescent="0.2">
      <c r="A13" t="s">
        <v>151</v>
      </c>
      <c r="C13" t="s">
        <v>154</v>
      </c>
      <c r="D13" t="s">
        <v>153</v>
      </c>
      <c r="E13" t="s">
        <v>154</v>
      </c>
      <c r="F13" t="s">
        <v>155</v>
      </c>
    </row>
    <row r="14" spans="1:11" x14ac:dyDescent="0.2">
      <c r="A14" t="s">
        <v>156</v>
      </c>
      <c r="B14" t="s">
        <v>168</v>
      </c>
      <c r="C14" s="18">
        <v>0.21212121212121213</v>
      </c>
      <c r="D14">
        <v>21.212121212121211</v>
      </c>
      <c r="E14">
        <v>21.212121212121211</v>
      </c>
      <c r="F14">
        <v>21.212121212121211</v>
      </c>
    </row>
    <row r="15" spans="1:11" x14ac:dyDescent="0.2">
      <c r="B15" t="s">
        <v>112</v>
      </c>
      <c r="C15" s="18">
        <v>0.3636363636363637</v>
      </c>
      <c r="D15">
        <v>36.363636363636367</v>
      </c>
      <c r="E15">
        <v>36.363636363636367</v>
      </c>
      <c r="F15">
        <v>57.575757575757578</v>
      </c>
    </row>
    <row r="16" spans="1:11" x14ac:dyDescent="0.2">
      <c r="B16" t="s">
        <v>113</v>
      </c>
      <c r="C16" s="18">
        <v>0.24242424242424243</v>
      </c>
      <c r="D16">
        <v>24.242424242424242</v>
      </c>
      <c r="E16">
        <v>24.242424242424242</v>
      </c>
      <c r="F16">
        <v>81.818181818181827</v>
      </c>
    </row>
    <row r="17" spans="2:6" x14ac:dyDescent="0.2">
      <c r="B17" t="s">
        <v>169</v>
      </c>
      <c r="C17" s="18">
        <v>0.18181818181818185</v>
      </c>
      <c r="D17">
        <v>18.181818181818183</v>
      </c>
      <c r="E17">
        <v>18.181818181818183</v>
      </c>
      <c r="F17">
        <v>100</v>
      </c>
    </row>
    <row r="18" spans="2:6" x14ac:dyDescent="0.2">
      <c r="B18" t="s">
        <v>157</v>
      </c>
      <c r="C18" s="18">
        <v>1</v>
      </c>
      <c r="D18">
        <v>100</v>
      </c>
      <c r="E18">
        <v>100</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3C257-715F-8F4D-AE01-1AE279F44B8D}">
  <dimension ref="A1"/>
  <sheetViews>
    <sheetView workbookViewId="0"/>
  </sheetViews>
  <sheetFormatPr baseColWidth="10" defaultRowHeight="16" x14ac:dyDescent="0.2"/>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8FA2D-02CF-FC4C-B53D-E5881A4030D0}">
  <dimension ref="A1:M96"/>
  <sheetViews>
    <sheetView workbookViewId="0">
      <selection activeCell="A38" sqref="A38:E58"/>
    </sheetView>
  </sheetViews>
  <sheetFormatPr baseColWidth="10" defaultRowHeight="16" x14ac:dyDescent="0.2"/>
  <cols>
    <col min="1" max="1" width="29.33203125" customWidth="1"/>
    <col min="9" max="9" width="47.6640625" customWidth="1"/>
  </cols>
  <sheetData>
    <row r="1" spans="1:13" ht="33" thickBot="1" x14ac:dyDescent="0.25">
      <c r="A1" s="11" t="s">
        <v>63</v>
      </c>
      <c r="B1" s="11" t="s">
        <v>122</v>
      </c>
      <c r="C1" s="11" t="s">
        <v>143</v>
      </c>
      <c r="D1" s="11" t="s">
        <v>203</v>
      </c>
      <c r="E1" s="11" t="s">
        <v>294</v>
      </c>
      <c r="M1" t="s">
        <v>154</v>
      </c>
    </row>
    <row r="2" spans="1:13" ht="18" thickTop="1" thickBot="1" x14ac:dyDescent="0.25">
      <c r="A2" s="70" t="s">
        <v>67</v>
      </c>
      <c r="B2" s="72">
        <v>0.25</v>
      </c>
      <c r="C2" s="72">
        <v>0.18</v>
      </c>
      <c r="D2" s="72">
        <v>0.55000000000000004</v>
      </c>
      <c r="E2" s="72">
        <v>0.38</v>
      </c>
      <c r="I2" t="s">
        <v>326</v>
      </c>
      <c r="M2" s="18">
        <v>0.38</v>
      </c>
    </row>
    <row r="3" spans="1:13" ht="17" thickBot="1" x14ac:dyDescent="0.25">
      <c r="A3" s="12" t="s">
        <v>66</v>
      </c>
      <c r="B3" s="41">
        <v>0</v>
      </c>
      <c r="C3" s="41">
        <v>0</v>
      </c>
      <c r="D3" s="41">
        <v>0</v>
      </c>
      <c r="E3" s="41">
        <v>0.15</v>
      </c>
      <c r="I3" t="s">
        <v>331</v>
      </c>
      <c r="M3" s="18">
        <v>0.15</v>
      </c>
    </row>
    <row r="4" spans="1:13" ht="17" thickBot="1" x14ac:dyDescent="0.25">
      <c r="A4" s="12" t="s">
        <v>68</v>
      </c>
      <c r="B4" s="41">
        <v>0</v>
      </c>
      <c r="C4" s="41">
        <v>0.05</v>
      </c>
      <c r="D4" s="41">
        <v>0.05</v>
      </c>
      <c r="E4" s="41">
        <v>0.09</v>
      </c>
      <c r="I4" t="s">
        <v>348</v>
      </c>
      <c r="M4" s="18">
        <v>9.0909090909090925E-2</v>
      </c>
    </row>
    <row r="5" spans="1:13" ht="17" thickBot="1" x14ac:dyDescent="0.25">
      <c r="A5" s="12" t="s">
        <v>347</v>
      </c>
      <c r="B5" s="41">
        <v>0</v>
      </c>
      <c r="C5" s="41">
        <v>0</v>
      </c>
      <c r="D5" s="41">
        <v>0</v>
      </c>
      <c r="E5" s="41">
        <v>0.06</v>
      </c>
      <c r="I5" t="s">
        <v>313</v>
      </c>
      <c r="M5" s="18">
        <v>3.0303030303030304E-2</v>
      </c>
    </row>
    <row r="6" spans="1:13" ht="113" thickBot="1" x14ac:dyDescent="0.25">
      <c r="A6" s="12" t="s">
        <v>313</v>
      </c>
      <c r="B6" s="41">
        <v>0</v>
      </c>
      <c r="C6" s="41">
        <v>0</v>
      </c>
      <c r="D6" s="41">
        <v>0</v>
      </c>
      <c r="E6" s="41">
        <v>3.0303030303030304E-2</v>
      </c>
      <c r="I6" t="s">
        <v>338</v>
      </c>
      <c r="M6" s="18">
        <v>3.0303030303030304E-2</v>
      </c>
    </row>
    <row r="7" spans="1:13" ht="33" thickBot="1" x14ac:dyDescent="0.25">
      <c r="A7" s="12" t="s">
        <v>338</v>
      </c>
      <c r="B7" s="41">
        <v>0</v>
      </c>
      <c r="C7" s="41">
        <v>0</v>
      </c>
      <c r="D7" s="41">
        <v>0</v>
      </c>
      <c r="E7" s="41">
        <v>3.0303030303030304E-2</v>
      </c>
      <c r="I7" t="s">
        <v>339</v>
      </c>
      <c r="M7" s="18">
        <v>3.0303030303030304E-2</v>
      </c>
    </row>
    <row r="8" spans="1:13" ht="17" thickBot="1" x14ac:dyDescent="0.25">
      <c r="A8" s="12" t="s">
        <v>339</v>
      </c>
      <c r="B8" s="41">
        <v>0</v>
      </c>
      <c r="C8" s="41">
        <v>0</v>
      </c>
      <c r="D8" s="41">
        <v>0</v>
      </c>
      <c r="E8" s="41">
        <v>3.0303030303030304E-2</v>
      </c>
      <c r="I8" t="s">
        <v>340</v>
      </c>
      <c r="M8" s="18">
        <v>3.0303030303030304E-2</v>
      </c>
    </row>
    <row r="9" spans="1:13" ht="17" thickBot="1" x14ac:dyDescent="0.25">
      <c r="A9" s="12" t="s">
        <v>340</v>
      </c>
      <c r="B9" s="41">
        <v>0</v>
      </c>
      <c r="C9" s="41">
        <v>0</v>
      </c>
      <c r="D9" s="41">
        <v>0</v>
      </c>
      <c r="E9" s="41">
        <v>3.0303030303030304E-2</v>
      </c>
      <c r="I9" t="s">
        <v>341</v>
      </c>
      <c r="M9" s="18">
        <v>3.0303030303030304E-2</v>
      </c>
    </row>
    <row r="10" spans="1:13" ht="17" thickBot="1" x14ac:dyDescent="0.25">
      <c r="A10" s="12" t="s">
        <v>341</v>
      </c>
      <c r="B10" s="41">
        <v>0</v>
      </c>
      <c r="C10" s="41">
        <v>0</v>
      </c>
      <c r="D10" s="41">
        <v>0</v>
      </c>
      <c r="E10" s="41">
        <v>3.0303030303030304E-2</v>
      </c>
      <c r="I10" t="s">
        <v>342</v>
      </c>
      <c r="M10" s="18">
        <v>3.0303030303030304E-2</v>
      </c>
    </row>
    <row r="11" spans="1:13" ht="17" thickBot="1" x14ac:dyDescent="0.25">
      <c r="A11" s="12" t="s">
        <v>342</v>
      </c>
      <c r="B11" s="41">
        <v>0</v>
      </c>
      <c r="C11" s="41">
        <v>0</v>
      </c>
      <c r="D11" s="41">
        <v>0</v>
      </c>
      <c r="E11" s="41">
        <v>3.0303030303030304E-2</v>
      </c>
      <c r="I11" t="s">
        <v>343</v>
      </c>
      <c r="M11" s="18">
        <v>3.0303030303030304E-2</v>
      </c>
    </row>
    <row r="12" spans="1:13" ht="17" thickBot="1" x14ac:dyDescent="0.25">
      <c r="A12" s="12" t="s">
        <v>343</v>
      </c>
      <c r="B12" s="41">
        <v>0</v>
      </c>
      <c r="C12" s="41">
        <v>0</v>
      </c>
      <c r="D12" s="41">
        <v>0</v>
      </c>
      <c r="E12" s="41">
        <v>3.0303030303030304E-2</v>
      </c>
      <c r="I12" t="s">
        <v>344</v>
      </c>
      <c r="M12" s="18">
        <v>3.0303030303030304E-2</v>
      </c>
    </row>
    <row r="13" spans="1:13" ht="17" thickBot="1" x14ac:dyDescent="0.25">
      <c r="A13" s="12" t="s">
        <v>344</v>
      </c>
      <c r="B13" s="41">
        <v>0</v>
      </c>
      <c r="C13" s="41">
        <v>0</v>
      </c>
      <c r="D13" s="41">
        <v>0</v>
      </c>
      <c r="E13" s="41">
        <v>3.0303030303030304E-2</v>
      </c>
      <c r="I13" t="s">
        <v>345</v>
      </c>
      <c r="M13" s="18">
        <v>3.0303030303030304E-2</v>
      </c>
    </row>
    <row r="14" spans="1:13" ht="49" thickBot="1" x14ac:dyDescent="0.25">
      <c r="A14" s="12" t="s">
        <v>345</v>
      </c>
      <c r="B14" s="41">
        <v>0</v>
      </c>
      <c r="C14" s="41">
        <v>0</v>
      </c>
      <c r="D14" s="41">
        <v>0</v>
      </c>
      <c r="E14" s="41">
        <v>3.0303030303030304E-2</v>
      </c>
      <c r="I14" t="s">
        <v>346</v>
      </c>
      <c r="M14" s="18">
        <v>3.0303030303030304E-2</v>
      </c>
    </row>
    <row r="15" spans="1:13" ht="17" thickBot="1" x14ac:dyDescent="0.25">
      <c r="A15" s="12" t="s">
        <v>334</v>
      </c>
      <c r="B15" s="41">
        <v>0</v>
      </c>
      <c r="C15" s="41">
        <v>0</v>
      </c>
      <c r="D15" s="41">
        <v>0</v>
      </c>
      <c r="E15" s="41">
        <v>3.0303030303030304E-2</v>
      </c>
      <c r="I15" t="s">
        <v>347</v>
      </c>
      <c r="M15" s="18">
        <v>3.0303030303030304E-2</v>
      </c>
    </row>
    <row r="16" spans="1:13" ht="33" thickBot="1" x14ac:dyDescent="0.25">
      <c r="A16" s="12" t="s">
        <v>335</v>
      </c>
      <c r="B16" s="41">
        <v>0</v>
      </c>
      <c r="C16" s="41">
        <v>0</v>
      </c>
      <c r="D16" s="41">
        <v>0</v>
      </c>
      <c r="E16" s="41">
        <v>3.0303030303030304E-2</v>
      </c>
      <c r="I16" t="s">
        <v>334</v>
      </c>
      <c r="M16" s="18">
        <v>3.0303030303030304E-2</v>
      </c>
    </row>
    <row r="17" spans="1:13" ht="49" thickBot="1" x14ac:dyDescent="0.25">
      <c r="A17" s="12" t="s">
        <v>336</v>
      </c>
      <c r="B17" s="41">
        <v>0</v>
      </c>
      <c r="C17" s="41">
        <v>0</v>
      </c>
      <c r="D17" s="41">
        <v>0</v>
      </c>
      <c r="E17" s="41">
        <v>3.0303030303030304E-2</v>
      </c>
      <c r="F17" t="s">
        <v>349</v>
      </c>
      <c r="I17" t="s">
        <v>335</v>
      </c>
      <c r="M17" s="18">
        <v>3.0303030303030304E-2</v>
      </c>
    </row>
    <row r="18" spans="1:13" ht="49" thickBot="1" x14ac:dyDescent="0.25">
      <c r="A18" s="12" t="s">
        <v>337</v>
      </c>
      <c r="B18" s="41">
        <v>0</v>
      </c>
      <c r="C18" s="41">
        <v>0</v>
      </c>
      <c r="D18" s="41">
        <v>0</v>
      </c>
      <c r="E18" s="41">
        <v>3.0303030303030304E-2</v>
      </c>
      <c r="I18" t="s">
        <v>336</v>
      </c>
      <c r="M18" s="18">
        <v>3.0303030303030304E-2</v>
      </c>
    </row>
    <row r="19" spans="1:13" ht="17" thickBot="1" x14ac:dyDescent="0.25">
      <c r="A19" s="12" t="s">
        <v>325</v>
      </c>
      <c r="B19" s="41">
        <v>0</v>
      </c>
      <c r="C19" s="41">
        <v>0</v>
      </c>
      <c r="D19" s="41">
        <v>0</v>
      </c>
      <c r="E19" s="41">
        <v>0.03</v>
      </c>
      <c r="I19" t="s">
        <v>337</v>
      </c>
      <c r="M19" s="18">
        <v>3.0303030303030304E-2</v>
      </c>
    </row>
    <row r="20" spans="1:13" ht="33" thickBot="1" x14ac:dyDescent="0.25">
      <c r="A20" s="12" t="s">
        <v>189</v>
      </c>
      <c r="B20" s="41">
        <v>0</v>
      </c>
      <c r="C20" s="67">
        <v>0.02</v>
      </c>
      <c r="D20" s="41">
        <v>0</v>
      </c>
      <c r="E20" s="41">
        <v>0</v>
      </c>
      <c r="I20" t="s">
        <v>325</v>
      </c>
      <c r="M20" s="18">
        <v>0.03</v>
      </c>
    </row>
    <row r="21" spans="1:13" ht="17" thickBot="1" x14ac:dyDescent="0.25">
      <c r="A21" s="12" t="s">
        <v>171</v>
      </c>
      <c r="B21" s="41">
        <v>0</v>
      </c>
      <c r="C21" s="67">
        <v>0.02</v>
      </c>
      <c r="D21" s="41">
        <v>0</v>
      </c>
      <c r="E21" s="41">
        <v>0</v>
      </c>
      <c r="J21" s="18"/>
    </row>
    <row r="22" spans="1:13" ht="17" thickBot="1" x14ac:dyDescent="0.25">
      <c r="A22" s="64" t="s">
        <v>134</v>
      </c>
      <c r="B22" s="65">
        <v>0.08</v>
      </c>
      <c r="C22" s="65">
        <v>0</v>
      </c>
      <c r="D22" s="65">
        <v>0</v>
      </c>
      <c r="E22" s="65">
        <v>0</v>
      </c>
      <c r="J22" s="18"/>
    </row>
    <row r="23" spans="1:13" ht="17" thickBot="1" x14ac:dyDescent="0.25">
      <c r="A23" s="12" t="s">
        <v>184</v>
      </c>
      <c r="B23" s="41">
        <v>0</v>
      </c>
      <c r="C23" s="67">
        <v>0.02</v>
      </c>
      <c r="D23" s="41">
        <v>0</v>
      </c>
      <c r="E23" s="41">
        <v>0</v>
      </c>
      <c r="J23" s="18"/>
    </row>
    <row r="24" spans="1:13" ht="17" thickBot="1" x14ac:dyDescent="0.25">
      <c r="A24" s="71" t="s">
        <v>185</v>
      </c>
      <c r="B24" s="69">
        <v>0</v>
      </c>
      <c r="C24" s="74">
        <v>0.02</v>
      </c>
      <c r="D24" s="69">
        <v>0</v>
      </c>
      <c r="E24" s="69">
        <v>0</v>
      </c>
      <c r="J24" s="18"/>
    </row>
    <row r="25" spans="1:13" ht="18" thickTop="1" thickBot="1" x14ac:dyDescent="0.25">
      <c r="A25" s="70" t="s">
        <v>172</v>
      </c>
      <c r="B25" s="72">
        <v>0</v>
      </c>
      <c r="C25" s="73">
        <v>0.02</v>
      </c>
      <c r="D25" s="72">
        <v>0</v>
      </c>
      <c r="E25" s="72">
        <v>0</v>
      </c>
      <c r="J25" s="18"/>
    </row>
    <row r="26" spans="1:13" ht="33" thickBot="1" x14ac:dyDescent="0.25">
      <c r="A26" s="12" t="s">
        <v>135</v>
      </c>
      <c r="B26" s="41">
        <v>0.08</v>
      </c>
      <c r="C26" s="41">
        <v>0</v>
      </c>
      <c r="D26" s="41">
        <v>0</v>
      </c>
      <c r="E26" s="41">
        <v>0</v>
      </c>
      <c r="J26" s="18"/>
    </row>
    <row r="27" spans="1:13" ht="33" thickBot="1" x14ac:dyDescent="0.25">
      <c r="A27" s="12" t="s">
        <v>173</v>
      </c>
      <c r="B27" s="41">
        <v>0</v>
      </c>
      <c r="C27" s="67">
        <v>0.02</v>
      </c>
      <c r="D27" s="41">
        <v>0</v>
      </c>
      <c r="E27" s="41">
        <v>0</v>
      </c>
      <c r="J27" s="18"/>
    </row>
    <row r="28" spans="1:13" ht="17" thickBot="1" x14ac:dyDescent="0.25">
      <c r="A28" s="12" t="s">
        <v>174</v>
      </c>
      <c r="B28" s="41">
        <v>0</v>
      </c>
      <c r="C28" s="67">
        <v>0.02</v>
      </c>
      <c r="D28" s="41">
        <v>0</v>
      </c>
      <c r="E28" s="41">
        <v>0</v>
      </c>
      <c r="J28" s="18"/>
    </row>
    <row r="29" spans="1:13" ht="17" thickBot="1" x14ac:dyDescent="0.25">
      <c r="A29" s="12" t="s">
        <v>175</v>
      </c>
      <c r="B29" s="41">
        <v>0</v>
      </c>
      <c r="C29" s="67">
        <v>0.02</v>
      </c>
      <c r="D29" s="41">
        <v>0</v>
      </c>
      <c r="E29" s="41">
        <v>0</v>
      </c>
    </row>
    <row r="30" spans="1:13" ht="17" thickBot="1" x14ac:dyDescent="0.25">
      <c r="A30" s="12" t="s">
        <v>190</v>
      </c>
      <c r="B30" s="41">
        <v>0</v>
      </c>
      <c r="C30" s="67">
        <v>0.02</v>
      </c>
      <c r="D30" s="41">
        <v>0</v>
      </c>
      <c r="E30" s="41">
        <v>0</v>
      </c>
    </row>
    <row r="31" spans="1:13" ht="17" thickBot="1" x14ac:dyDescent="0.25">
      <c r="A31" s="12" t="s">
        <v>121</v>
      </c>
      <c r="B31" s="41">
        <v>0</v>
      </c>
      <c r="C31" s="67">
        <v>0.02</v>
      </c>
      <c r="D31" s="41">
        <v>0</v>
      </c>
      <c r="E31" s="41">
        <v>0</v>
      </c>
    </row>
    <row r="32" spans="1:13" ht="17" thickBot="1" x14ac:dyDescent="0.25">
      <c r="A32" s="12" t="s">
        <v>116</v>
      </c>
      <c r="B32" s="41">
        <v>0.08</v>
      </c>
      <c r="C32" s="41">
        <v>0</v>
      </c>
      <c r="D32" s="41">
        <v>0</v>
      </c>
      <c r="E32" s="41">
        <v>0</v>
      </c>
    </row>
    <row r="33" spans="1:12" ht="17" thickBot="1" x14ac:dyDescent="0.25">
      <c r="A33" s="64" t="s">
        <v>176</v>
      </c>
      <c r="B33" s="65">
        <v>0</v>
      </c>
      <c r="C33" s="66">
        <v>0.05</v>
      </c>
      <c r="D33" s="65">
        <v>0</v>
      </c>
      <c r="E33" s="65">
        <v>0</v>
      </c>
    </row>
    <row r="34" spans="1:12" ht="17" thickBot="1" x14ac:dyDescent="0.25">
      <c r="A34" s="64" t="s">
        <v>64</v>
      </c>
      <c r="B34" s="65">
        <v>0</v>
      </c>
      <c r="C34" s="65">
        <v>0.02</v>
      </c>
      <c r="D34" s="65">
        <v>0</v>
      </c>
      <c r="E34" s="65">
        <v>0</v>
      </c>
    </row>
    <row r="35" spans="1:12" ht="17" thickBot="1" x14ac:dyDescent="0.25">
      <c r="A35" s="12" t="s">
        <v>177</v>
      </c>
      <c r="B35" s="41">
        <v>0</v>
      </c>
      <c r="C35" s="67">
        <v>0.02</v>
      </c>
      <c r="D35" s="41">
        <v>0</v>
      </c>
      <c r="E35" s="41">
        <v>0</v>
      </c>
    </row>
    <row r="36" spans="1:12" ht="17" thickBot="1" x14ac:dyDescent="0.25">
      <c r="A36" s="12" t="s">
        <v>65</v>
      </c>
      <c r="B36" s="41">
        <v>0</v>
      </c>
      <c r="C36" s="67">
        <v>0.02</v>
      </c>
      <c r="D36" s="41">
        <v>0</v>
      </c>
      <c r="E36" s="41">
        <v>0</v>
      </c>
    </row>
    <row r="37" spans="1:12" ht="17" thickBot="1" x14ac:dyDescent="0.25">
      <c r="A37" s="12" t="s">
        <v>65</v>
      </c>
      <c r="B37" s="41">
        <v>0.08</v>
      </c>
      <c r="C37" s="41">
        <v>0</v>
      </c>
      <c r="D37" s="41">
        <v>0</v>
      </c>
      <c r="E37" s="41">
        <v>0</v>
      </c>
      <c r="F37" t="s">
        <v>349</v>
      </c>
    </row>
    <row r="38" spans="1:12" ht="33" thickBot="1" x14ac:dyDescent="0.25">
      <c r="A38" s="64" t="s">
        <v>311</v>
      </c>
      <c r="B38" s="65">
        <v>0</v>
      </c>
      <c r="C38" s="65">
        <v>0</v>
      </c>
      <c r="D38" s="65">
        <v>0.05</v>
      </c>
      <c r="E38" s="65">
        <v>0</v>
      </c>
    </row>
    <row r="39" spans="1:12" ht="33" thickBot="1" x14ac:dyDescent="0.25">
      <c r="A39" s="12" t="s">
        <v>178</v>
      </c>
      <c r="B39" s="41">
        <v>0</v>
      </c>
      <c r="C39" s="67">
        <v>0.02</v>
      </c>
      <c r="D39" s="41">
        <v>0</v>
      </c>
      <c r="E39" s="41">
        <v>0</v>
      </c>
    </row>
    <row r="40" spans="1:12" ht="17" thickBot="1" x14ac:dyDescent="0.25">
      <c r="A40" s="12" t="s">
        <v>179</v>
      </c>
      <c r="B40" s="41">
        <v>0</v>
      </c>
      <c r="C40" s="67">
        <v>0.02</v>
      </c>
      <c r="D40" s="41">
        <v>0</v>
      </c>
      <c r="E40" s="41">
        <v>0</v>
      </c>
    </row>
    <row r="41" spans="1:12" ht="17" thickBot="1" x14ac:dyDescent="0.25">
      <c r="A41" s="64" t="s">
        <v>231</v>
      </c>
      <c r="B41" s="65">
        <v>0</v>
      </c>
      <c r="C41" s="65">
        <v>0</v>
      </c>
      <c r="D41" s="65">
        <v>0.05</v>
      </c>
      <c r="E41" s="65">
        <v>0</v>
      </c>
    </row>
    <row r="42" spans="1:12" ht="17" thickBot="1" x14ac:dyDescent="0.25">
      <c r="A42" s="12" t="s">
        <v>170</v>
      </c>
      <c r="B42" s="41">
        <v>0.08</v>
      </c>
      <c r="C42" s="41">
        <v>0</v>
      </c>
      <c r="D42" s="41">
        <v>0</v>
      </c>
      <c r="E42" s="41">
        <v>0</v>
      </c>
    </row>
    <row r="43" spans="1:12" ht="17" thickBot="1" x14ac:dyDescent="0.25">
      <c r="A43" s="64" t="s">
        <v>312</v>
      </c>
      <c r="B43" s="65">
        <v>0</v>
      </c>
      <c r="C43" s="65">
        <v>0</v>
      </c>
      <c r="D43" s="65">
        <v>0.05</v>
      </c>
      <c r="E43" s="65">
        <v>0</v>
      </c>
    </row>
    <row r="44" spans="1:12" ht="17" thickBot="1" x14ac:dyDescent="0.25">
      <c r="A44" s="12" t="s">
        <v>180</v>
      </c>
      <c r="B44" s="41">
        <v>0</v>
      </c>
      <c r="C44" s="67">
        <v>0.02</v>
      </c>
      <c r="D44" s="41">
        <v>0</v>
      </c>
      <c r="E44" s="41">
        <v>0</v>
      </c>
      <c r="L44" s="18">
        <v>0.01</v>
      </c>
    </row>
    <row r="45" spans="1:12" ht="17" thickBot="1" x14ac:dyDescent="0.25">
      <c r="A45" s="12" t="s">
        <v>181</v>
      </c>
      <c r="B45" s="41">
        <v>0</v>
      </c>
      <c r="C45" s="67">
        <v>0.02</v>
      </c>
      <c r="D45" s="41">
        <v>0</v>
      </c>
      <c r="E45" s="41">
        <v>0</v>
      </c>
    </row>
    <row r="46" spans="1:12" ht="17" thickBot="1" x14ac:dyDescent="0.25">
      <c r="A46" s="12" t="s">
        <v>139</v>
      </c>
      <c r="B46" s="41">
        <v>0.08</v>
      </c>
      <c r="C46" s="67">
        <v>0</v>
      </c>
      <c r="D46" s="41">
        <v>0</v>
      </c>
      <c r="E46" s="41">
        <v>0</v>
      </c>
    </row>
    <row r="47" spans="1:12" ht="33" thickBot="1" x14ac:dyDescent="0.25">
      <c r="A47" s="12" t="s">
        <v>186</v>
      </c>
      <c r="B47" s="41">
        <v>0</v>
      </c>
      <c r="C47" s="67">
        <v>0.02</v>
      </c>
      <c r="D47" s="41">
        <v>0</v>
      </c>
      <c r="E47" s="41">
        <v>0</v>
      </c>
    </row>
    <row r="48" spans="1:12" ht="17" thickBot="1" x14ac:dyDescent="0.25">
      <c r="A48" s="12" t="s">
        <v>233</v>
      </c>
      <c r="B48" s="41">
        <v>0</v>
      </c>
      <c r="C48" s="67">
        <v>0</v>
      </c>
      <c r="D48" s="41">
        <v>0.05</v>
      </c>
      <c r="E48" s="41">
        <v>0</v>
      </c>
    </row>
    <row r="49" spans="1:6" ht="17" thickBot="1" x14ac:dyDescent="0.25">
      <c r="A49" s="12" t="s">
        <v>183</v>
      </c>
      <c r="B49" s="41">
        <v>0</v>
      </c>
      <c r="C49" s="67">
        <v>0.02</v>
      </c>
      <c r="D49" s="41">
        <v>0</v>
      </c>
      <c r="E49" s="41">
        <v>0</v>
      </c>
    </row>
    <row r="50" spans="1:6" ht="17" thickBot="1" x14ac:dyDescent="0.25">
      <c r="A50" s="12" t="s">
        <v>137</v>
      </c>
      <c r="B50" s="41">
        <v>0.08</v>
      </c>
      <c r="C50" s="67">
        <v>0</v>
      </c>
      <c r="D50" s="41">
        <v>0</v>
      </c>
      <c r="E50" s="41">
        <v>0</v>
      </c>
    </row>
    <row r="51" spans="1:6" ht="17" thickBot="1" x14ac:dyDescent="0.25">
      <c r="A51" s="12" t="s">
        <v>187</v>
      </c>
      <c r="B51" s="41">
        <v>0</v>
      </c>
      <c r="C51" s="67">
        <v>0.02</v>
      </c>
      <c r="D51" s="41">
        <v>0</v>
      </c>
      <c r="E51" s="41">
        <v>0</v>
      </c>
    </row>
    <row r="52" spans="1:6" ht="17" thickBot="1" x14ac:dyDescent="0.25">
      <c r="A52" s="12" t="s">
        <v>138</v>
      </c>
      <c r="B52" s="41">
        <v>0.08</v>
      </c>
      <c r="C52" s="67">
        <v>0</v>
      </c>
      <c r="D52" s="41">
        <v>0</v>
      </c>
      <c r="E52" s="41">
        <v>0</v>
      </c>
    </row>
    <row r="53" spans="1:6" ht="17" thickBot="1" x14ac:dyDescent="0.25">
      <c r="A53" s="12" t="s">
        <v>234</v>
      </c>
      <c r="B53" s="41">
        <v>0</v>
      </c>
      <c r="C53" s="67">
        <v>0</v>
      </c>
      <c r="D53" s="41">
        <v>0.05</v>
      </c>
      <c r="E53" s="41">
        <v>0</v>
      </c>
    </row>
    <row r="54" spans="1:6" ht="17" thickBot="1" x14ac:dyDescent="0.25">
      <c r="A54" s="12" t="s">
        <v>188</v>
      </c>
      <c r="B54" s="41">
        <v>0</v>
      </c>
      <c r="C54" s="67">
        <v>0.02</v>
      </c>
      <c r="D54" s="41">
        <v>0</v>
      </c>
      <c r="E54" s="41">
        <v>0</v>
      </c>
    </row>
    <row r="55" spans="1:6" ht="17" thickBot="1" x14ac:dyDescent="0.25">
      <c r="A55" s="12" t="s">
        <v>182</v>
      </c>
      <c r="B55" s="41">
        <v>0</v>
      </c>
      <c r="C55" s="67">
        <v>0.02</v>
      </c>
      <c r="D55" s="41">
        <v>0</v>
      </c>
      <c r="E55" s="41">
        <v>0</v>
      </c>
    </row>
    <row r="56" spans="1:6" ht="18" customHeight="1" thickBot="1" x14ac:dyDescent="0.25">
      <c r="A56" s="12" t="s">
        <v>136</v>
      </c>
      <c r="B56" s="41">
        <v>0.08</v>
      </c>
      <c r="C56" s="67">
        <v>0.09</v>
      </c>
      <c r="D56" s="41">
        <v>0</v>
      </c>
      <c r="E56" s="41">
        <v>0</v>
      </c>
    </row>
    <row r="57" spans="1:6" ht="18" thickBot="1" x14ac:dyDescent="0.25">
      <c r="A57" s="68" t="s">
        <v>11</v>
      </c>
      <c r="B57" s="69">
        <v>0</v>
      </c>
      <c r="C57" s="69">
        <v>0</v>
      </c>
      <c r="D57" s="69">
        <v>0.1</v>
      </c>
      <c r="E57" s="69">
        <v>0</v>
      </c>
      <c r="F57" t="s">
        <v>155</v>
      </c>
    </row>
    <row r="58" spans="1:6" ht="18" thickTop="1" thickBot="1" x14ac:dyDescent="0.25">
      <c r="A58" s="13" t="s">
        <v>12</v>
      </c>
      <c r="B58" s="14">
        <v>12</v>
      </c>
      <c r="C58" s="14">
        <v>44</v>
      </c>
      <c r="D58" s="14">
        <v>19</v>
      </c>
      <c r="E58" s="14">
        <v>33</v>
      </c>
      <c r="F58">
        <v>3.0303030303030303</v>
      </c>
    </row>
    <row r="59" spans="1:6" x14ac:dyDescent="0.2">
      <c r="F59">
        <v>6.0606060606060606</v>
      </c>
    </row>
    <row r="60" spans="1:6" x14ac:dyDescent="0.2">
      <c r="F60">
        <v>9.0909090909090917</v>
      </c>
    </row>
    <row r="61" spans="1:6" x14ac:dyDescent="0.2">
      <c r="F61">
        <v>12.121212121212121</v>
      </c>
    </row>
    <row r="62" spans="1:6" x14ac:dyDescent="0.2">
      <c r="F62">
        <v>15.151515151515152</v>
      </c>
    </row>
    <row r="63" spans="1:6" x14ac:dyDescent="0.2">
      <c r="F63">
        <v>18.181818181818183</v>
      </c>
    </row>
    <row r="64" spans="1:6" x14ac:dyDescent="0.2">
      <c r="F64">
        <v>21.212121212121211</v>
      </c>
    </row>
    <row r="65" spans="1:6" x14ac:dyDescent="0.2">
      <c r="F65">
        <v>24.242424242424242</v>
      </c>
    </row>
    <row r="66" spans="1:6" x14ac:dyDescent="0.2">
      <c r="F66">
        <v>27.27272727272727</v>
      </c>
    </row>
    <row r="67" spans="1:6" x14ac:dyDescent="0.2">
      <c r="A67" t="s">
        <v>230</v>
      </c>
      <c r="F67">
        <v>30.303030303030305</v>
      </c>
    </row>
    <row r="68" spans="1:6" x14ac:dyDescent="0.2">
      <c r="A68" t="s">
        <v>151</v>
      </c>
      <c r="C68" t="s">
        <v>154</v>
      </c>
      <c r="D68" t="s">
        <v>153</v>
      </c>
      <c r="F68">
        <v>33.333333333333329</v>
      </c>
    </row>
    <row r="69" spans="1:6" x14ac:dyDescent="0.2">
      <c r="A69" t="s">
        <v>156</v>
      </c>
      <c r="B69" t="s">
        <v>313</v>
      </c>
      <c r="C69" s="18">
        <v>3.0303030303030304E-2</v>
      </c>
      <c r="D69">
        <v>3.0303030303030303</v>
      </c>
      <c r="F69">
        <v>42.424242424242422</v>
      </c>
    </row>
    <row r="70" spans="1:6" x14ac:dyDescent="0.2">
      <c r="B70" t="s">
        <v>314</v>
      </c>
      <c r="C70" s="18">
        <v>3.0303030303030304E-2</v>
      </c>
      <c r="D70">
        <v>3.0303030303030303</v>
      </c>
      <c r="F70">
        <v>45.454545454545453</v>
      </c>
    </row>
    <row r="71" spans="1:6" x14ac:dyDescent="0.2">
      <c r="B71" t="s">
        <v>315</v>
      </c>
      <c r="C71" s="18">
        <v>3.0303030303030304E-2</v>
      </c>
      <c r="D71">
        <v>3.0303030303030303</v>
      </c>
      <c r="F71">
        <v>48.484848484848484</v>
      </c>
    </row>
    <row r="72" spans="1:6" x14ac:dyDescent="0.2">
      <c r="B72" t="s">
        <v>316</v>
      </c>
      <c r="C72" s="18">
        <v>3.0303030303030304E-2</v>
      </c>
      <c r="D72">
        <v>3.0303030303030303</v>
      </c>
      <c r="F72">
        <v>51.515151515151516</v>
      </c>
    </row>
    <row r="73" spans="1:6" x14ac:dyDescent="0.2">
      <c r="B73" t="s">
        <v>317</v>
      </c>
      <c r="C73" s="18">
        <v>3.0303030303030304E-2</v>
      </c>
      <c r="D73">
        <v>3.0303030303030303</v>
      </c>
      <c r="F73">
        <v>54.54545454545454</v>
      </c>
    </row>
    <row r="74" spans="1:6" x14ac:dyDescent="0.2">
      <c r="B74" t="s">
        <v>318</v>
      </c>
      <c r="C74" s="18">
        <v>3.0303030303030304E-2</v>
      </c>
      <c r="D74">
        <v>3.0303030303030303</v>
      </c>
      <c r="F74">
        <v>57.575757575757578</v>
      </c>
    </row>
    <row r="75" spans="1:6" x14ac:dyDescent="0.2">
      <c r="B75" t="s">
        <v>319</v>
      </c>
      <c r="C75" s="18">
        <v>3.0303030303030304E-2</v>
      </c>
      <c r="D75">
        <v>3.0303030303030303</v>
      </c>
      <c r="F75">
        <v>69.696969696969703</v>
      </c>
    </row>
    <row r="76" spans="1:6" x14ac:dyDescent="0.2">
      <c r="B76" t="s">
        <v>320</v>
      </c>
      <c r="C76" s="18">
        <v>3.0303030303030304E-2</v>
      </c>
      <c r="D76">
        <v>3.0303030303030303</v>
      </c>
      <c r="F76">
        <v>72.727272727272734</v>
      </c>
    </row>
    <row r="77" spans="1:6" x14ac:dyDescent="0.2">
      <c r="B77" t="s">
        <v>321</v>
      </c>
      <c r="C77" s="18">
        <v>3.0303030303030304E-2</v>
      </c>
      <c r="D77">
        <v>3.0303030303030303</v>
      </c>
      <c r="F77">
        <v>78.787878787878782</v>
      </c>
    </row>
    <row r="78" spans="1:6" x14ac:dyDescent="0.2">
      <c r="B78" t="s">
        <v>322</v>
      </c>
      <c r="C78" s="18">
        <v>3.0303030303030304E-2</v>
      </c>
      <c r="D78">
        <v>3.0303030303030303</v>
      </c>
      <c r="F78">
        <v>81.818181818181827</v>
      </c>
    </row>
    <row r="79" spans="1:6" x14ac:dyDescent="0.2">
      <c r="B79" t="s">
        <v>323</v>
      </c>
      <c r="C79" s="18">
        <v>3.0303030303030304E-2</v>
      </c>
      <c r="D79">
        <v>3.0303030303030303</v>
      </c>
      <c r="F79">
        <v>84.848484848484844</v>
      </c>
    </row>
    <row r="80" spans="1:6" x14ac:dyDescent="0.2">
      <c r="B80" t="s">
        <v>324</v>
      </c>
      <c r="C80" s="18">
        <v>9.0909090909090925E-2</v>
      </c>
      <c r="D80">
        <v>9.0909090909090917</v>
      </c>
      <c r="F80">
        <v>87.878787878787875</v>
      </c>
    </row>
    <row r="81" spans="2:6" x14ac:dyDescent="0.2">
      <c r="B81" t="s">
        <v>325</v>
      </c>
      <c r="C81" s="18">
        <v>3.0303030303030304E-2</v>
      </c>
      <c r="D81">
        <v>3.0303030303030303</v>
      </c>
      <c r="F81">
        <v>90.909090909090907</v>
      </c>
    </row>
    <row r="82" spans="2:6" x14ac:dyDescent="0.2">
      <c r="B82" t="s">
        <v>326</v>
      </c>
      <c r="C82" s="18">
        <v>3.0303030303030304E-2</v>
      </c>
      <c r="D82">
        <v>3.0303030303030303</v>
      </c>
      <c r="F82">
        <v>93.939393939393938</v>
      </c>
    </row>
    <row r="83" spans="2:6" x14ac:dyDescent="0.2">
      <c r="B83" t="s">
        <v>89</v>
      </c>
      <c r="C83" s="18">
        <v>3.0303030303030304E-2</v>
      </c>
      <c r="D83">
        <v>3.0303030303030303</v>
      </c>
      <c r="F83">
        <v>96.969696969696969</v>
      </c>
    </row>
    <row r="84" spans="2:6" x14ac:dyDescent="0.2">
      <c r="B84" t="s">
        <v>327</v>
      </c>
      <c r="C84" s="18">
        <v>3.0303030303030304E-2</v>
      </c>
      <c r="D84">
        <v>3.0303030303030303</v>
      </c>
      <c r="F84">
        <v>100</v>
      </c>
    </row>
    <row r="85" spans="2:6" x14ac:dyDescent="0.2">
      <c r="B85" t="s">
        <v>328</v>
      </c>
      <c r="C85" s="18">
        <v>3.0303030303030304E-2</v>
      </c>
      <c r="D85">
        <v>3.0303030303030303</v>
      </c>
    </row>
    <row r="86" spans="2:6" x14ac:dyDescent="0.2">
      <c r="B86" t="s">
        <v>329</v>
      </c>
      <c r="C86" s="18">
        <v>0.12121212121212122</v>
      </c>
      <c r="D86">
        <v>12.121212121212121</v>
      </c>
    </row>
    <row r="87" spans="2:6" x14ac:dyDescent="0.2">
      <c r="B87" t="s">
        <v>330</v>
      </c>
      <c r="C87" s="18">
        <v>3.0303030303030304E-2</v>
      </c>
      <c r="D87">
        <v>3.0303030303030303</v>
      </c>
    </row>
    <row r="88" spans="2:6" x14ac:dyDescent="0.2">
      <c r="B88" t="s">
        <v>331</v>
      </c>
      <c r="C88" s="18">
        <v>6.0606060606060608E-2</v>
      </c>
      <c r="D88">
        <v>6.0606060606060606</v>
      </c>
    </row>
    <row r="89" spans="2:6" x14ac:dyDescent="0.2">
      <c r="B89" t="s">
        <v>232</v>
      </c>
      <c r="C89" s="18">
        <v>3.0303030303030304E-2</v>
      </c>
      <c r="D89">
        <v>3.0303030303030303</v>
      </c>
    </row>
    <row r="90" spans="2:6" x14ac:dyDescent="0.2">
      <c r="B90" t="s">
        <v>332</v>
      </c>
      <c r="C90" s="18">
        <v>3.0303030303030304E-2</v>
      </c>
      <c r="D90">
        <v>3.0303030303030303</v>
      </c>
    </row>
    <row r="91" spans="2:6" x14ac:dyDescent="0.2">
      <c r="B91" t="s">
        <v>333</v>
      </c>
      <c r="C91" s="18">
        <v>3.0303030303030304E-2</v>
      </c>
      <c r="D91">
        <v>3.0303030303030303</v>
      </c>
    </row>
    <row r="92" spans="2:6" x14ac:dyDescent="0.2">
      <c r="B92" t="s">
        <v>334</v>
      </c>
      <c r="C92" s="18">
        <v>3.0303030303030304E-2</v>
      </c>
      <c r="D92">
        <v>3.0303030303030303</v>
      </c>
    </row>
    <row r="93" spans="2:6" x14ac:dyDescent="0.2">
      <c r="B93" t="s">
        <v>335</v>
      </c>
      <c r="C93" s="18">
        <v>3.0303030303030304E-2</v>
      </c>
      <c r="D93">
        <v>3.0303030303030303</v>
      </c>
    </row>
    <row r="94" spans="2:6" x14ac:dyDescent="0.2">
      <c r="B94" t="s">
        <v>336</v>
      </c>
      <c r="C94" s="18">
        <v>3.0303030303030304E-2</v>
      </c>
      <c r="D94">
        <v>3.0303030303030303</v>
      </c>
    </row>
    <row r="95" spans="2:6" x14ac:dyDescent="0.2">
      <c r="B95" t="s">
        <v>337</v>
      </c>
      <c r="C95" s="18">
        <v>3.0303030303030304E-2</v>
      </c>
      <c r="D95">
        <v>3.0303030303030303</v>
      </c>
    </row>
    <row r="96" spans="2:6" x14ac:dyDescent="0.2">
      <c r="B96" t="s">
        <v>157</v>
      </c>
      <c r="C96" s="18">
        <v>1</v>
      </c>
      <c r="D96">
        <v>100</v>
      </c>
    </row>
  </sheetData>
  <sortState xmlns:xlrd2="http://schemas.microsoft.com/office/spreadsheetml/2017/richdata2" ref="A2:E56">
    <sortCondition descending="1" ref="E2:E56"/>
  </sortState>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F5E71-B789-5E40-BF7B-213680954B7D}">
  <dimension ref="A1:M9"/>
  <sheetViews>
    <sheetView workbookViewId="0">
      <selection activeCell="E3" sqref="E3:E8"/>
    </sheetView>
  </sheetViews>
  <sheetFormatPr baseColWidth="10" defaultRowHeight="16" x14ac:dyDescent="0.2"/>
  <sheetData>
    <row r="1" spans="1:13" ht="17" thickBot="1" x14ac:dyDescent="0.25"/>
    <row r="2" spans="1:13" ht="17" thickBot="1" x14ac:dyDescent="0.25">
      <c r="A2" s="11" t="s">
        <v>235</v>
      </c>
      <c r="B2" s="11" t="s">
        <v>70</v>
      </c>
      <c r="C2" s="11" t="s">
        <v>122</v>
      </c>
      <c r="D2" s="11" t="s">
        <v>143</v>
      </c>
      <c r="E2" s="11" t="s">
        <v>203</v>
      </c>
    </row>
    <row r="3" spans="1:13" ht="53" thickTop="1" thickBot="1" x14ac:dyDescent="0.25">
      <c r="A3" s="70" t="s">
        <v>236</v>
      </c>
      <c r="B3" s="72">
        <v>0.39</v>
      </c>
      <c r="C3" s="72">
        <v>0.42</v>
      </c>
      <c r="D3" s="72">
        <v>0.18</v>
      </c>
      <c r="E3" s="18">
        <v>5.2631578947368418E-2</v>
      </c>
      <c r="H3" s="75" t="s">
        <v>241</v>
      </c>
      <c r="I3" s="76">
        <v>1</v>
      </c>
      <c r="J3" s="77">
        <v>5.2631578947368416</v>
      </c>
      <c r="M3" s="18">
        <v>0.01</v>
      </c>
    </row>
    <row r="4" spans="1:13" ht="69" thickBot="1" x14ac:dyDescent="0.25">
      <c r="A4" s="12" t="s">
        <v>237</v>
      </c>
      <c r="B4" s="41">
        <v>0.28999999999999998</v>
      </c>
      <c r="C4" s="41">
        <v>0.42</v>
      </c>
      <c r="D4" s="41">
        <v>0.3</v>
      </c>
      <c r="E4" s="18">
        <v>0.52631578947368418</v>
      </c>
      <c r="H4" s="78" t="s">
        <v>242</v>
      </c>
      <c r="I4" s="79">
        <v>1</v>
      </c>
      <c r="J4" s="63">
        <v>5.2631578947368416</v>
      </c>
    </row>
    <row r="5" spans="1:13" ht="35" thickBot="1" x14ac:dyDescent="0.25">
      <c r="A5" s="12" t="s">
        <v>238</v>
      </c>
      <c r="B5" s="41">
        <v>0.25</v>
      </c>
      <c r="C5" s="41">
        <v>0</v>
      </c>
      <c r="D5" s="41">
        <v>0.3</v>
      </c>
      <c r="E5" s="18">
        <v>0.21052631578947367</v>
      </c>
      <c r="H5" s="78" t="s">
        <v>243</v>
      </c>
      <c r="I5" s="79">
        <v>4</v>
      </c>
      <c r="J5" s="63">
        <v>21.052631578947366</v>
      </c>
    </row>
    <row r="6" spans="1:13" ht="69" thickBot="1" x14ac:dyDescent="0.25">
      <c r="A6" s="78" t="s">
        <v>242</v>
      </c>
      <c r="B6" s="41"/>
      <c r="C6" s="41"/>
      <c r="D6" s="41"/>
      <c r="E6" s="18">
        <v>5.2631578947368418E-2</v>
      </c>
      <c r="H6" s="78" t="s">
        <v>244</v>
      </c>
      <c r="I6" s="79">
        <v>10</v>
      </c>
      <c r="J6" s="63">
        <v>52.631578947368418</v>
      </c>
    </row>
    <row r="7" spans="1:13" ht="52" thickBot="1" x14ac:dyDescent="0.25">
      <c r="A7" s="12" t="s">
        <v>239</v>
      </c>
      <c r="B7" s="41">
        <v>0</v>
      </c>
      <c r="C7" s="41">
        <v>0.08</v>
      </c>
      <c r="D7" s="41">
        <v>0.05</v>
      </c>
      <c r="E7" s="18">
        <v>5.2631578947368418E-2</v>
      </c>
      <c r="H7" s="78" t="s">
        <v>239</v>
      </c>
      <c r="I7" s="79">
        <v>1</v>
      </c>
      <c r="J7" s="63">
        <v>5.2631578947368416</v>
      </c>
    </row>
    <row r="8" spans="1:13" ht="18" thickBot="1" x14ac:dyDescent="0.25">
      <c r="A8" s="71" t="s">
        <v>240</v>
      </c>
      <c r="B8" s="69">
        <v>7.0000000000000007E-2</v>
      </c>
      <c r="C8" s="69">
        <v>0.08</v>
      </c>
      <c r="D8" s="69">
        <v>0.18</v>
      </c>
      <c r="E8" s="18">
        <v>0.10526315789473684</v>
      </c>
      <c r="H8" s="78" t="s">
        <v>240</v>
      </c>
      <c r="I8" s="79">
        <v>2</v>
      </c>
      <c r="J8" s="63">
        <v>10.526315789473683</v>
      </c>
    </row>
    <row r="9" spans="1:13" ht="18" thickTop="1" thickBot="1" x14ac:dyDescent="0.25">
      <c r="A9" s="13" t="s">
        <v>12</v>
      </c>
      <c r="B9" s="14">
        <v>28</v>
      </c>
      <c r="C9" s="14">
        <v>12</v>
      </c>
      <c r="D9" s="14">
        <v>44</v>
      </c>
      <c r="E9" s="14">
        <v>19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0A35B-BFF6-9641-841D-C245954E0996}">
  <dimension ref="A2:M37"/>
  <sheetViews>
    <sheetView workbookViewId="0">
      <selection activeCell="A25" sqref="A25:E29"/>
    </sheetView>
  </sheetViews>
  <sheetFormatPr baseColWidth="10" defaultRowHeight="16" x14ac:dyDescent="0.2"/>
  <sheetData>
    <row r="2" spans="1:11" ht="17" thickBot="1" x14ac:dyDescent="0.25"/>
    <row r="3" spans="1:11" ht="33" thickBot="1" x14ac:dyDescent="0.25">
      <c r="A3" s="11" t="s">
        <v>245</v>
      </c>
      <c r="B3" s="11" t="s">
        <v>122</v>
      </c>
      <c r="C3" s="11" t="s">
        <v>143</v>
      </c>
      <c r="D3" s="11" t="s">
        <v>203</v>
      </c>
      <c r="E3" s="11" t="s">
        <v>294</v>
      </c>
    </row>
    <row r="4" spans="1:11" ht="53" thickTop="1" thickBot="1" x14ac:dyDescent="0.25">
      <c r="A4" s="70" t="s">
        <v>246</v>
      </c>
      <c r="B4" s="72">
        <v>0</v>
      </c>
      <c r="C4" s="72">
        <v>7.0000000000000007E-2</v>
      </c>
      <c r="D4" s="72">
        <v>0</v>
      </c>
      <c r="E4" s="72">
        <v>0</v>
      </c>
      <c r="I4" s="75" t="s">
        <v>251</v>
      </c>
      <c r="J4" s="76">
        <v>1</v>
      </c>
      <c r="K4" s="77">
        <v>5.2631578947368416</v>
      </c>
    </row>
    <row r="5" spans="1:11" ht="49" thickBot="1" x14ac:dyDescent="0.25">
      <c r="A5" s="12" t="s">
        <v>247</v>
      </c>
      <c r="B5" s="41">
        <v>0</v>
      </c>
      <c r="C5" s="41">
        <v>7.0000000000000007E-2</v>
      </c>
      <c r="D5" s="41">
        <v>0.05</v>
      </c>
      <c r="E5" s="41">
        <v>0.06</v>
      </c>
      <c r="I5" s="78" t="s">
        <v>248</v>
      </c>
      <c r="J5" s="79">
        <v>7</v>
      </c>
      <c r="K5" s="63">
        <v>36.84210526315789</v>
      </c>
    </row>
    <row r="6" spans="1:11" ht="35" thickBot="1" x14ac:dyDescent="0.25">
      <c r="A6" s="12" t="s">
        <v>248</v>
      </c>
      <c r="B6" s="41">
        <v>0.42</v>
      </c>
      <c r="C6" s="41">
        <v>0.48</v>
      </c>
      <c r="D6" s="41">
        <v>0.37</v>
      </c>
      <c r="E6" s="41">
        <v>0.24</v>
      </c>
      <c r="I6" s="78" t="s">
        <v>249</v>
      </c>
      <c r="J6" s="79">
        <v>3</v>
      </c>
      <c r="K6" s="63">
        <v>15.789473684210526</v>
      </c>
    </row>
    <row r="7" spans="1:11" ht="52" thickBot="1" x14ac:dyDescent="0.25">
      <c r="A7" s="12" t="s">
        <v>249</v>
      </c>
      <c r="B7" s="41">
        <v>0.25</v>
      </c>
      <c r="C7" s="41">
        <v>0.36</v>
      </c>
      <c r="D7" s="41">
        <v>0.16</v>
      </c>
      <c r="E7" s="41">
        <v>0.36</v>
      </c>
      <c r="I7" s="78" t="s">
        <v>250</v>
      </c>
      <c r="J7" s="79">
        <v>6</v>
      </c>
      <c r="K7" s="63">
        <v>31.578947368421051</v>
      </c>
    </row>
    <row r="8" spans="1:11" ht="49" thickBot="1" x14ac:dyDescent="0.25">
      <c r="A8" s="12" t="s">
        <v>250</v>
      </c>
      <c r="B8" s="41">
        <v>0.25</v>
      </c>
      <c r="C8" s="41">
        <v>0.05</v>
      </c>
      <c r="D8" s="41">
        <v>0.32</v>
      </c>
      <c r="E8" s="41">
        <v>0.3</v>
      </c>
      <c r="I8" s="78" t="s">
        <v>240</v>
      </c>
      <c r="J8" s="79">
        <v>2</v>
      </c>
      <c r="K8" s="63">
        <v>10.526315789473683</v>
      </c>
    </row>
    <row r="9" spans="1:11" ht="17" thickBot="1" x14ac:dyDescent="0.25">
      <c r="A9" s="124" t="s">
        <v>351</v>
      </c>
      <c r="B9" s="125">
        <v>0</v>
      </c>
      <c r="C9" s="125">
        <v>0</v>
      </c>
      <c r="D9" s="125">
        <v>0</v>
      </c>
      <c r="E9" s="125">
        <v>0.03</v>
      </c>
      <c r="I9" s="128"/>
      <c r="J9" s="129"/>
      <c r="K9" s="130"/>
    </row>
    <row r="10" spans="1:11" ht="17" thickBot="1" x14ac:dyDescent="0.25">
      <c r="A10" s="71" t="s">
        <v>240</v>
      </c>
      <c r="B10" s="69">
        <v>0.08</v>
      </c>
      <c r="C10" s="69">
        <v>0.11</v>
      </c>
      <c r="D10" s="69">
        <v>0.11</v>
      </c>
      <c r="E10" s="69">
        <v>0</v>
      </c>
    </row>
    <row r="11" spans="1:11" ht="18" thickTop="1" thickBot="1" x14ac:dyDescent="0.25">
      <c r="A11" s="13" t="s">
        <v>12</v>
      </c>
      <c r="B11" s="14">
        <v>12</v>
      </c>
      <c r="C11" s="14">
        <v>44</v>
      </c>
      <c r="D11" s="14">
        <v>19</v>
      </c>
      <c r="E11" s="14">
        <v>33</v>
      </c>
    </row>
    <row r="24" spans="1:13" ht="17" thickBot="1" x14ac:dyDescent="0.25"/>
    <row r="25" spans="1:13" ht="113" thickBot="1" x14ac:dyDescent="0.25">
      <c r="A25" s="11" t="s">
        <v>252</v>
      </c>
      <c r="B25" s="11" t="s">
        <v>122</v>
      </c>
      <c r="C25" s="11" t="s">
        <v>143</v>
      </c>
      <c r="D25" s="11" t="s">
        <v>203</v>
      </c>
      <c r="E25" s="11" t="s">
        <v>294</v>
      </c>
    </row>
    <row r="26" spans="1:13" ht="18" thickTop="1" thickBot="1" x14ac:dyDescent="0.25">
      <c r="A26" s="70" t="s">
        <v>88</v>
      </c>
      <c r="B26" s="72">
        <v>0.25</v>
      </c>
      <c r="C26" s="72">
        <v>0.39</v>
      </c>
      <c r="D26" s="72">
        <v>0</v>
      </c>
      <c r="E26" s="72">
        <v>0.09</v>
      </c>
    </row>
    <row r="27" spans="1:13" ht="17" thickBot="1" x14ac:dyDescent="0.25">
      <c r="A27" s="12" t="s">
        <v>89</v>
      </c>
      <c r="B27" s="41">
        <v>0.67</v>
      </c>
      <c r="C27" s="41">
        <v>0.5</v>
      </c>
      <c r="D27" s="41">
        <v>0.84</v>
      </c>
      <c r="E27" s="41">
        <v>0.91</v>
      </c>
    </row>
    <row r="28" spans="1:13" ht="17" thickBot="1" x14ac:dyDescent="0.25">
      <c r="A28" s="71" t="s">
        <v>240</v>
      </c>
      <c r="B28" s="69">
        <v>0.08</v>
      </c>
      <c r="C28" s="69">
        <v>0.11</v>
      </c>
      <c r="D28" s="69">
        <v>0.16</v>
      </c>
      <c r="E28" s="69">
        <v>0</v>
      </c>
    </row>
    <row r="29" spans="1:13" ht="18" thickTop="1" thickBot="1" x14ac:dyDescent="0.25">
      <c r="A29" s="13" t="s">
        <v>12</v>
      </c>
      <c r="B29" s="14">
        <v>12</v>
      </c>
      <c r="C29" s="14">
        <v>44</v>
      </c>
      <c r="D29" s="14">
        <v>19</v>
      </c>
      <c r="E29" s="14">
        <v>33</v>
      </c>
    </row>
    <row r="30" spans="1:13" ht="17" thickBot="1" x14ac:dyDescent="0.25">
      <c r="I30" s="71" t="s">
        <v>237</v>
      </c>
      <c r="J30" s="69">
        <v>0.42</v>
      </c>
      <c r="K30" s="69">
        <v>0.3</v>
      </c>
      <c r="L30" s="74">
        <v>0.53</v>
      </c>
      <c r="M30" s="74">
        <v>0.49</v>
      </c>
    </row>
    <row r="31" spans="1:13" ht="34" thickTop="1" thickBot="1" x14ac:dyDescent="0.25">
      <c r="I31" s="70" t="s">
        <v>239</v>
      </c>
      <c r="J31" s="72">
        <v>0.08</v>
      </c>
      <c r="K31" s="72">
        <v>0.05</v>
      </c>
      <c r="L31" s="73">
        <v>0.05</v>
      </c>
      <c r="M31" s="73">
        <v>0.15</v>
      </c>
    </row>
    <row r="32" spans="1:13" ht="33" thickBot="1" x14ac:dyDescent="0.25">
      <c r="I32" s="12" t="s">
        <v>236</v>
      </c>
      <c r="J32" s="41">
        <v>0.42</v>
      </c>
      <c r="K32" s="41">
        <v>0.18</v>
      </c>
      <c r="L32" s="67">
        <v>0.05</v>
      </c>
      <c r="M32" s="67">
        <v>0.12</v>
      </c>
    </row>
    <row r="33" spans="9:13" ht="17" thickBot="1" x14ac:dyDescent="0.25">
      <c r="I33" s="12" t="s">
        <v>238</v>
      </c>
      <c r="J33" s="41">
        <v>0</v>
      </c>
      <c r="K33" s="41">
        <v>0.3</v>
      </c>
      <c r="L33" s="67">
        <v>0.21</v>
      </c>
      <c r="M33" s="67">
        <v>0.12</v>
      </c>
    </row>
    <row r="34" spans="9:13" ht="49" thickBot="1" x14ac:dyDescent="0.25">
      <c r="I34" s="127" t="s">
        <v>350</v>
      </c>
      <c r="J34" s="41">
        <v>0</v>
      </c>
      <c r="K34" s="41">
        <v>0</v>
      </c>
      <c r="L34" s="67">
        <v>0</v>
      </c>
      <c r="M34" s="67">
        <v>0.06</v>
      </c>
    </row>
    <row r="35" spans="9:13" ht="69" thickBot="1" x14ac:dyDescent="0.25">
      <c r="I35" s="126" t="s">
        <v>242</v>
      </c>
      <c r="J35" s="41">
        <v>0</v>
      </c>
      <c r="K35" s="41">
        <v>0</v>
      </c>
      <c r="L35" s="67">
        <v>0.05</v>
      </c>
      <c r="M35" s="67">
        <v>0</v>
      </c>
    </row>
    <row r="36" spans="9:13" ht="17" thickBot="1" x14ac:dyDescent="0.25">
      <c r="I36" s="71" t="s">
        <v>225</v>
      </c>
      <c r="J36" s="69">
        <v>0</v>
      </c>
      <c r="K36" s="69">
        <v>0</v>
      </c>
      <c r="L36" s="74">
        <v>0</v>
      </c>
      <c r="M36" s="74">
        <v>0.06</v>
      </c>
    </row>
    <row r="37" spans="9:13" ht="18" thickTop="1" thickBot="1" x14ac:dyDescent="0.25">
      <c r="I37" s="70" t="s">
        <v>240</v>
      </c>
      <c r="J37" s="72">
        <v>0.08</v>
      </c>
      <c r="K37" s="72">
        <v>0.18</v>
      </c>
      <c r="L37" s="73">
        <v>0.11</v>
      </c>
      <c r="M37" s="73">
        <v>0.11</v>
      </c>
    </row>
  </sheetData>
  <sortState xmlns:xlrd2="http://schemas.microsoft.com/office/spreadsheetml/2017/richdata2" ref="I30:M35">
    <sortCondition descending="1" ref="M30:M35"/>
  </sortState>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3FDE-9001-2747-AAE4-5499E523AE5A}">
  <dimension ref="A1:L26"/>
  <sheetViews>
    <sheetView workbookViewId="0">
      <selection activeCell="A17" sqref="A17:E24"/>
    </sheetView>
  </sheetViews>
  <sheetFormatPr baseColWidth="10" defaultRowHeight="16" x14ac:dyDescent="0.2"/>
  <sheetData>
    <row r="1" spans="1:10" ht="17" thickBot="1" x14ac:dyDescent="0.25"/>
    <row r="2" spans="1:10" ht="65" thickBot="1" x14ac:dyDescent="0.25">
      <c r="A2" s="11" t="s">
        <v>253</v>
      </c>
      <c r="B2" s="11" t="s">
        <v>122</v>
      </c>
      <c r="C2" s="11" t="s">
        <v>143</v>
      </c>
      <c r="D2" s="11" t="s">
        <v>203</v>
      </c>
      <c r="E2" s="11" t="s">
        <v>294</v>
      </c>
    </row>
    <row r="3" spans="1:10" ht="34" thickTop="1" thickBot="1" x14ac:dyDescent="0.25">
      <c r="A3" s="70" t="s">
        <v>254</v>
      </c>
      <c r="B3" s="72">
        <v>0.08</v>
      </c>
      <c r="C3" s="72">
        <v>0.05</v>
      </c>
      <c r="D3" s="72">
        <v>0</v>
      </c>
      <c r="E3" s="72">
        <v>0</v>
      </c>
    </row>
    <row r="4" spans="1:10" ht="35" thickBot="1" x14ac:dyDescent="0.25">
      <c r="A4" s="12" t="s">
        <v>255</v>
      </c>
      <c r="B4" s="41">
        <v>0.08</v>
      </c>
      <c r="C4" s="41">
        <v>0.09</v>
      </c>
      <c r="D4" s="41">
        <v>0.16</v>
      </c>
      <c r="E4" s="41">
        <v>0.24</v>
      </c>
      <c r="H4" s="75" t="s">
        <v>255</v>
      </c>
      <c r="I4" s="76">
        <v>3</v>
      </c>
      <c r="J4" s="77">
        <v>15.789473684210526</v>
      </c>
    </row>
    <row r="5" spans="1:10" ht="35" thickBot="1" x14ac:dyDescent="0.25">
      <c r="A5" s="12" t="s">
        <v>256</v>
      </c>
      <c r="B5" s="41">
        <v>0.08</v>
      </c>
      <c r="C5" s="41">
        <v>7.0000000000000007E-2</v>
      </c>
      <c r="D5" s="41">
        <v>0.05</v>
      </c>
      <c r="E5" s="41">
        <v>0.15</v>
      </c>
      <c r="H5" s="78" t="s">
        <v>256</v>
      </c>
      <c r="I5" s="79">
        <v>1</v>
      </c>
      <c r="J5" s="63">
        <v>5.2631578947368416</v>
      </c>
    </row>
    <row r="6" spans="1:10" ht="35" thickBot="1" x14ac:dyDescent="0.25">
      <c r="A6" s="12" t="s">
        <v>257</v>
      </c>
      <c r="B6" s="41">
        <v>0.33</v>
      </c>
      <c r="C6" s="41">
        <v>0.09</v>
      </c>
      <c r="D6" s="41">
        <v>0.26</v>
      </c>
      <c r="E6" s="41">
        <v>0.09</v>
      </c>
      <c r="H6" s="78" t="s">
        <v>257</v>
      </c>
      <c r="I6" s="79">
        <v>5</v>
      </c>
      <c r="J6" s="63">
        <v>26.315789473684209</v>
      </c>
    </row>
    <row r="7" spans="1:10" ht="35" thickBot="1" x14ac:dyDescent="0.25">
      <c r="A7" s="12" t="s">
        <v>258</v>
      </c>
      <c r="B7" s="41">
        <v>0.08</v>
      </c>
      <c r="C7" s="41">
        <v>0.14000000000000001</v>
      </c>
      <c r="D7" s="41">
        <v>0.21</v>
      </c>
      <c r="E7" s="41">
        <v>0.18</v>
      </c>
      <c r="H7" s="78" t="s">
        <v>258</v>
      </c>
      <c r="I7" s="79">
        <v>4</v>
      </c>
      <c r="J7" s="63">
        <v>21.052631578947366</v>
      </c>
    </row>
    <row r="8" spans="1:10" ht="35" thickBot="1" x14ac:dyDescent="0.25">
      <c r="A8" s="12" t="s">
        <v>259</v>
      </c>
      <c r="B8" s="41">
        <v>0.08</v>
      </c>
      <c r="C8" s="41">
        <v>0.16</v>
      </c>
      <c r="D8" s="41">
        <v>0</v>
      </c>
      <c r="E8" s="41">
        <v>0.06</v>
      </c>
      <c r="H8" s="78" t="s">
        <v>260</v>
      </c>
      <c r="I8" s="79">
        <v>5</v>
      </c>
      <c r="J8" s="63">
        <v>26.315789473684209</v>
      </c>
    </row>
    <row r="9" spans="1:10" ht="35" thickBot="1" x14ac:dyDescent="0.25">
      <c r="A9" s="12" t="s">
        <v>260</v>
      </c>
      <c r="B9" s="41">
        <v>0.17</v>
      </c>
      <c r="C9" s="41">
        <v>0.32</v>
      </c>
      <c r="D9" s="41">
        <v>0.26</v>
      </c>
      <c r="E9" s="41">
        <v>0.27</v>
      </c>
      <c r="H9" s="78" t="s">
        <v>193</v>
      </c>
      <c r="I9" s="79">
        <v>1</v>
      </c>
      <c r="J9" s="63">
        <v>5.2631578947368416</v>
      </c>
    </row>
    <row r="10" spans="1:10" ht="17" thickBot="1" x14ac:dyDescent="0.25">
      <c r="A10" s="71" t="s">
        <v>240</v>
      </c>
      <c r="B10" s="69">
        <v>0.08</v>
      </c>
      <c r="C10" s="69">
        <v>0.11</v>
      </c>
      <c r="D10" s="69">
        <v>0.05</v>
      </c>
      <c r="E10" s="69">
        <v>0</v>
      </c>
    </row>
    <row r="11" spans="1:10" ht="18" thickTop="1" thickBot="1" x14ac:dyDescent="0.25">
      <c r="A11" s="13" t="s">
        <v>12</v>
      </c>
      <c r="B11" s="14">
        <v>12</v>
      </c>
      <c r="C11" s="14">
        <v>44</v>
      </c>
      <c r="D11" s="14">
        <v>19</v>
      </c>
      <c r="E11" s="14">
        <v>33</v>
      </c>
    </row>
    <row r="16" spans="1:10" ht="17" thickBot="1" x14ac:dyDescent="0.25"/>
    <row r="17" spans="1:12" ht="49" thickBot="1" x14ac:dyDescent="0.25">
      <c r="A17" s="11" t="s">
        <v>261</v>
      </c>
      <c r="B17" s="11" t="s">
        <v>122</v>
      </c>
      <c r="C17" s="11" t="s">
        <v>143</v>
      </c>
      <c r="D17" s="11" t="s">
        <v>203</v>
      </c>
      <c r="E17" s="11" t="s">
        <v>294</v>
      </c>
    </row>
    <row r="18" spans="1:12" ht="36" thickTop="1" thickBot="1" x14ac:dyDescent="0.25">
      <c r="A18" s="70" t="s">
        <v>262</v>
      </c>
      <c r="B18" s="72">
        <v>0</v>
      </c>
      <c r="C18" s="72">
        <v>0.05</v>
      </c>
      <c r="D18" s="72">
        <v>0</v>
      </c>
      <c r="E18" s="72">
        <v>0.18181818181818185</v>
      </c>
      <c r="H18" s="119" t="s">
        <v>262</v>
      </c>
      <c r="I18" s="80">
        <v>6</v>
      </c>
      <c r="J18" s="18">
        <v>0.18181818181818185</v>
      </c>
      <c r="L18" s="18">
        <v>0.01</v>
      </c>
    </row>
    <row r="19" spans="1:12" ht="35" thickBot="1" x14ac:dyDescent="0.25">
      <c r="A19" s="12" t="s">
        <v>257</v>
      </c>
      <c r="B19" s="41">
        <v>0.08</v>
      </c>
      <c r="C19" s="41">
        <v>0.05</v>
      </c>
      <c r="D19" s="41">
        <v>0.16</v>
      </c>
      <c r="E19" s="41">
        <v>0.12121212121212122</v>
      </c>
      <c r="H19" s="120" t="s">
        <v>257</v>
      </c>
      <c r="I19" s="81">
        <v>4</v>
      </c>
      <c r="J19" s="18">
        <v>0.12121212121212122</v>
      </c>
    </row>
    <row r="20" spans="1:12" ht="35" thickBot="1" x14ac:dyDescent="0.25">
      <c r="A20" s="12" t="s">
        <v>258</v>
      </c>
      <c r="B20" s="41">
        <v>0.08</v>
      </c>
      <c r="C20" s="41">
        <v>0.02</v>
      </c>
      <c r="D20" s="41">
        <v>0.11</v>
      </c>
      <c r="E20" s="41">
        <v>3.0303030303030304E-2</v>
      </c>
      <c r="H20" s="120" t="s">
        <v>258</v>
      </c>
      <c r="I20" s="81">
        <v>1</v>
      </c>
      <c r="J20" s="18">
        <v>3.0303030303030304E-2</v>
      </c>
    </row>
    <row r="21" spans="1:12" ht="35" thickBot="1" x14ac:dyDescent="0.25">
      <c r="A21" s="12" t="s">
        <v>259</v>
      </c>
      <c r="B21" s="41">
        <v>0.17</v>
      </c>
      <c r="C21" s="41">
        <v>0.05</v>
      </c>
      <c r="D21" s="41">
        <v>0.11</v>
      </c>
      <c r="E21" s="41">
        <v>9.0909090909090925E-2</v>
      </c>
      <c r="H21" s="120" t="s">
        <v>259</v>
      </c>
      <c r="I21" s="81">
        <v>3</v>
      </c>
      <c r="J21" s="18">
        <v>9.0909090909090925E-2</v>
      </c>
    </row>
    <row r="22" spans="1:12" ht="35" thickBot="1" x14ac:dyDescent="0.25">
      <c r="A22" s="12" t="s">
        <v>260</v>
      </c>
      <c r="B22" s="41">
        <v>0.57999999999999996</v>
      </c>
      <c r="C22" s="41">
        <v>0.73</v>
      </c>
      <c r="D22" s="41">
        <v>0.53</v>
      </c>
      <c r="E22" s="41">
        <v>0.57999999999999996</v>
      </c>
      <c r="H22" s="120" t="s">
        <v>263</v>
      </c>
      <c r="I22" s="81">
        <v>7</v>
      </c>
      <c r="J22" s="18">
        <v>0.21212121212121213</v>
      </c>
    </row>
    <row r="23" spans="1:12" ht="35" thickBot="1" x14ac:dyDescent="0.25">
      <c r="A23" s="71" t="s">
        <v>240</v>
      </c>
      <c r="B23" s="69">
        <v>0.08</v>
      </c>
      <c r="C23" s="69">
        <v>0.11</v>
      </c>
      <c r="D23" s="69">
        <v>0.11</v>
      </c>
      <c r="E23" s="69">
        <v>0</v>
      </c>
      <c r="H23" s="120" t="s">
        <v>264</v>
      </c>
      <c r="I23" s="81">
        <v>7</v>
      </c>
      <c r="J23" s="18">
        <v>0.21212121212121213</v>
      </c>
    </row>
    <row r="24" spans="1:12" ht="36" thickTop="1" thickBot="1" x14ac:dyDescent="0.25">
      <c r="A24" s="13" t="s">
        <v>12</v>
      </c>
      <c r="B24" s="14">
        <v>12</v>
      </c>
      <c r="C24" s="14">
        <v>44</v>
      </c>
      <c r="D24" s="14">
        <v>19</v>
      </c>
      <c r="E24" s="14">
        <v>33</v>
      </c>
      <c r="H24" s="120" t="s">
        <v>265</v>
      </c>
      <c r="I24" s="81">
        <v>1</v>
      </c>
      <c r="J24" s="18">
        <v>3.0303030303030304E-2</v>
      </c>
    </row>
    <row r="25" spans="1:12" ht="34" x14ac:dyDescent="0.2">
      <c r="H25" s="120" t="s">
        <v>266</v>
      </c>
      <c r="I25" s="81">
        <v>4</v>
      </c>
      <c r="J25" s="18">
        <v>0.12121212121212122</v>
      </c>
    </row>
    <row r="26" spans="1:12" x14ac:dyDescent="0.2">
      <c r="H26" s="78"/>
      <c r="I26" s="79"/>
      <c r="J26" s="63"/>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71034-FA36-2A4D-9E2F-9CEF1D15D2CF}">
  <dimension ref="A1:L16"/>
  <sheetViews>
    <sheetView workbookViewId="0">
      <selection activeCell="A2" sqref="A2:E15"/>
    </sheetView>
  </sheetViews>
  <sheetFormatPr baseColWidth="10" defaultRowHeight="16" x14ac:dyDescent="0.2"/>
  <sheetData>
    <row r="1" spans="1:12" ht="17" thickBot="1" x14ac:dyDescent="0.25"/>
    <row r="2" spans="1:12" ht="97" thickBot="1" x14ac:dyDescent="0.25">
      <c r="A2" s="11" t="s">
        <v>267</v>
      </c>
      <c r="B2" s="11" t="s">
        <v>122</v>
      </c>
      <c r="C2" s="11" t="s">
        <v>143</v>
      </c>
      <c r="D2" s="11" t="s">
        <v>203</v>
      </c>
      <c r="E2" s="11" t="s">
        <v>294</v>
      </c>
    </row>
    <row r="3" spans="1:12" ht="18" thickTop="1" thickBot="1" x14ac:dyDescent="0.25">
      <c r="A3" s="70" t="s">
        <v>268</v>
      </c>
      <c r="B3" s="72">
        <v>0.7</v>
      </c>
      <c r="C3" s="72">
        <v>0.5</v>
      </c>
      <c r="D3" s="72">
        <v>0.46</v>
      </c>
      <c r="E3" s="72">
        <v>0.63636363636363635</v>
      </c>
      <c r="G3" s="131" t="s">
        <v>281</v>
      </c>
      <c r="H3" s="80">
        <v>21</v>
      </c>
      <c r="I3" s="18">
        <v>0.63636363636363635</v>
      </c>
      <c r="J3" s="77"/>
      <c r="L3" s="18">
        <v>0.01</v>
      </c>
    </row>
    <row r="4" spans="1:12" ht="17" thickBot="1" x14ac:dyDescent="0.25">
      <c r="A4" s="12" t="s">
        <v>269</v>
      </c>
      <c r="B4" s="41">
        <v>0.2</v>
      </c>
      <c r="C4" s="41">
        <v>0.12</v>
      </c>
      <c r="D4" s="41">
        <v>0.15</v>
      </c>
      <c r="E4" s="41">
        <v>0</v>
      </c>
      <c r="G4" s="132" t="s">
        <v>283</v>
      </c>
      <c r="H4" s="81">
        <v>2</v>
      </c>
      <c r="I4" s="18">
        <v>6.0606060606060608E-2</v>
      </c>
      <c r="J4" s="63"/>
    </row>
    <row r="5" spans="1:12" ht="17" thickBot="1" x14ac:dyDescent="0.25">
      <c r="A5" s="12" t="s">
        <v>270</v>
      </c>
      <c r="B5" s="41">
        <v>0</v>
      </c>
      <c r="C5" s="41">
        <v>0.09</v>
      </c>
      <c r="D5" s="41">
        <v>0.08</v>
      </c>
      <c r="E5" s="41">
        <v>6.0606060606060608E-2</v>
      </c>
      <c r="G5" s="132" t="s">
        <v>287</v>
      </c>
      <c r="H5" s="81">
        <v>2</v>
      </c>
      <c r="I5" s="18">
        <v>6.0606060606060608E-2</v>
      </c>
      <c r="J5" s="63"/>
    </row>
    <row r="6" spans="1:12" ht="17" thickBot="1" x14ac:dyDescent="0.25">
      <c r="A6" s="12" t="s">
        <v>271</v>
      </c>
      <c r="B6" s="41">
        <v>0</v>
      </c>
      <c r="C6" s="41">
        <v>0.09</v>
      </c>
      <c r="D6" s="41">
        <v>0</v>
      </c>
      <c r="E6" s="41">
        <v>6.0606060606060608E-2</v>
      </c>
      <c r="G6" s="132" t="s">
        <v>284</v>
      </c>
      <c r="H6" s="81">
        <v>1</v>
      </c>
      <c r="I6" s="18">
        <v>3.0303030303030304E-2</v>
      </c>
      <c r="J6" s="63"/>
    </row>
    <row r="7" spans="1:12" ht="17" thickBot="1" x14ac:dyDescent="0.25">
      <c r="A7" s="12" t="s">
        <v>272</v>
      </c>
      <c r="B7" s="41">
        <v>0</v>
      </c>
      <c r="C7" s="41">
        <v>0.03</v>
      </c>
      <c r="D7" s="41">
        <v>0.15</v>
      </c>
      <c r="E7" s="41">
        <v>3.0303030303030304E-2</v>
      </c>
      <c r="G7" s="132" t="s">
        <v>214</v>
      </c>
      <c r="H7" s="81">
        <v>1</v>
      </c>
      <c r="I7" s="18">
        <v>3.0303030303030304E-2</v>
      </c>
      <c r="J7" s="63"/>
    </row>
    <row r="8" spans="1:12" ht="17" thickBot="1" x14ac:dyDescent="0.25">
      <c r="A8" s="12" t="s">
        <v>273</v>
      </c>
      <c r="B8" s="41">
        <v>0</v>
      </c>
      <c r="C8" s="41">
        <v>0.03</v>
      </c>
      <c r="D8" s="41">
        <v>0.08</v>
      </c>
      <c r="E8" s="41">
        <v>3.0303030303030304E-2</v>
      </c>
      <c r="G8" s="132" t="s">
        <v>201</v>
      </c>
      <c r="H8" s="81">
        <v>2</v>
      </c>
      <c r="I8" s="18">
        <v>6.0606060606060608E-2</v>
      </c>
      <c r="J8" s="63"/>
    </row>
    <row r="9" spans="1:12" ht="17" thickBot="1" x14ac:dyDescent="0.25">
      <c r="A9" s="12" t="s">
        <v>352</v>
      </c>
      <c r="B9" s="41">
        <v>0</v>
      </c>
      <c r="C9" s="41">
        <v>0</v>
      </c>
      <c r="D9" s="41">
        <v>0</v>
      </c>
      <c r="E9" s="41">
        <v>0.06</v>
      </c>
      <c r="G9" s="132" t="s">
        <v>215</v>
      </c>
      <c r="H9" s="81">
        <v>1</v>
      </c>
      <c r="I9" s="18">
        <v>3.0303030303030304E-2</v>
      </c>
    </row>
    <row r="10" spans="1:12" ht="17" thickBot="1" x14ac:dyDescent="0.25">
      <c r="A10" s="12" t="s">
        <v>274</v>
      </c>
      <c r="B10" s="41">
        <v>0</v>
      </c>
      <c r="C10" s="41">
        <v>0.03</v>
      </c>
      <c r="D10" s="41">
        <v>0</v>
      </c>
      <c r="E10" s="41">
        <v>0.03</v>
      </c>
      <c r="G10" s="132" t="s">
        <v>289</v>
      </c>
      <c r="H10" s="81">
        <v>3</v>
      </c>
      <c r="I10" s="18">
        <v>9.0909090909090925E-2</v>
      </c>
    </row>
    <row r="11" spans="1:12" ht="17" thickBot="1" x14ac:dyDescent="0.25">
      <c r="A11" s="12" t="s">
        <v>277</v>
      </c>
      <c r="B11" s="41">
        <v>0</v>
      </c>
      <c r="C11" s="41">
        <v>0.03</v>
      </c>
      <c r="D11" s="41">
        <v>0</v>
      </c>
      <c r="E11" s="41">
        <v>0</v>
      </c>
    </row>
    <row r="12" spans="1:12" ht="17" thickBot="1" x14ac:dyDescent="0.25">
      <c r="A12" s="12" t="s">
        <v>278</v>
      </c>
      <c r="B12" s="41">
        <v>0</v>
      </c>
      <c r="C12" s="41">
        <v>0</v>
      </c>
      <c r="D12" s="41">
        <v>0.08</v>
      </c>
      <c r="E12" s="41">
        <v>0</v>
      </c>
    </row>
    <row r="13" spans="1:12" ht="17" thickBot="1" x14ac:dyDescent="0.25">
      <c r="A13" s="12" t="s">
        <v>279</v>
      </c>
      <c r="B13" s="41">
        <v>0.1</v>
      </c>
      <c r="C13" s="41">
        <v>0.03</v>
      </c>
      <c r="D13" s="41">
        <v>0</v>
      </c>
      <c r="E13" s="41">
        <v>0</v>
      </c>
    </row>
    <row r="14" spans="1:12" ht="17" thickBot="1" x14ac:dyDescent="0.25">
      <c r="A14" s="71" t="s">
        <v>280</v>
      </c>
      <c r="B14" s="69">
        <v>0</v>
      </c>
      <c r="C14" s="69">
        <v>0.06</v>
      </c>
      <c r="D14" s="69">
        <v>0</v>
      </c>
      <c r="E14" s="69">
        <v>0.09</v>
      </c>
    </row>
    <row r="15" spans="1:12" ht="18" thickTop="1" thickBot="1" x14ac:dyDescent="0.25">
      <c r="A15" s="13" t="s">
        <v>12</v>
      </c>
      <c r="B15" s="14">
        <v>10</v>
      </c>
      <c r="C15" s="14">
        <v>34</v>
      </c>
      <c r="D15" s="14">
        <v>13</v>
      </c>
      <c r="E15" s="14">
        <v>33</v>
      </c>
    </row>
    <row r="16" spans="1:12" ht="18" thickTop="1" thickBot="1" x14ac:dyDescent="0.25">
      <c r="A16" s="13"/>
      <c r="B16" s="14"/>
      <c r="C16" s="14"/>
      <c r="D16" s="14"/>
      <c r="E16" s="14"/>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F0CF-E5EA-5D4A-B617-766E99895FD6}">
  <dimension ref="A1:M16"/>
  <sheetViews>
    <sheetView workbookViewId="0">
      <selection activeCell="A2" sqref="A2:E16"/>
    </sheetView>
  </sheetViews>
  <sheetFormatPr baseColWidth="10" defaultRowHeight="16" x14ac:dyDescent="0.2"/>
  <cols>
    <col min="1" max="1" width="22" customWidth="1"/>
  </cols>
  <sheetData>
    <row r="1" spans="1:13" ht="17" thickBot="1" x14ac:dyDescent="0.25"/>
    <row r="2" spans="1:13" ht="49" thickBot="1" x14ac:dyDescent="0.25">
      <c r="A2" s="11" t="s">
        <v>286</v>
      </c>
      <c r="B2" s="11" t="s">
        <v>122</v>
      </c>
      <c r="C2" s="11" t="s">
        <v>143</v>
      </c>
      <c r="D2" s="11" t="s">
        <v>203</v>
      </c>
      <c r="E2" s="11" t="s">
        <v>294</v>
      </c>
      <c r="G2" s="18"/>
    </row>
    <row r="3" spans="1:13" ht="18" thickTop="1" thickBot="1" x14ac:dyDescent="0.25">
      <c r="A3" s="70" t="s">
        <v>268</v>
      </c>
      <c r="B3" s="72">
        <v>0.6</v>
      </c>
      <c r="C3" s="72">
        <v>0.69</v>
      </c>
      <c r="D3" s="72">
        <v>0.36</v>
      </c>
      <c r="E3" s="72">
        <v>0.48484848484848486</v>
      </c>
      <c r="H3" s="131" t="s">
        <v>281</v>
      </c>
      <c r="I3" s="80">
        <v>16</v>
      </c>
      <c r="J3" s="18">
        <v>0.48484848484848486</v>
      </c>
      <c r="K3" s="77"/>
      <c r="M3" s="18">
        <v>0.01</v>
      </c>
    </row>
    <row r="4" spans="1:13" ht="17" thickBot="1" x14ac:dyDescent="0.25">
      <c r="A4" s="12" t="s">
        <v>269</v>
      </c>
      <c r="B4" s="41">
        <v>0.2</v>
      </c>
      <c r="C4" s="41">
        <v>0.06</v>
      </c>
      <c r="D4" s="41">
        <v>7.0000000000000007E-2</v>
      </c>
      <c r="E4" s="41">
        <v>6.0606060606060608E-2</v>
      </c>
      <c r="H4" s="132" t="s">
        <v>282</v>
      </c>
      <c r="I4" s="81">
        <v>2</v>
      </c>
      <c r="J4" s="18">
        <v>6.0606060606060608E-2</v>
      </c>
      <c r="K4" s="63"/>
    </row>
    <row r="5" spans="1:13" ht="17" thickBot="1" x14ac:dyDescent="0.25">
      <c r="A5" s="12" t="s">
        <v>270</v>
      </c>
      <c r="B5" s="41">
        <v>0</v>
      </c>
      <c r="C5" s="41">
        <v>0</v>
      </c>
      <c r="D5" s="41">
        <v>7.0000000000000007E-2</v>
      </c>
      <c r="E5" s="41">
        <v>3.0303030303030304E-2</v>
      </c>
      <c r="H5" s="132" t="s">
        <v>283</v>
      </c>
      <c r="I5" s="81">
        <v>1</v>
      </c>
      <c r="J5" s="18">
        <v>3.0303030303030304E-2</v>
      </c>
      <c r="K5" s="63"/>
    </row>
    <row r="6" spans="1:13" ht="17" thickBot="1" x14ac:dyDescent="0.25">
      <c r="A6" s="12" t="s">
        <v>271</v>
      </c>
      <c r="B6" s="41">
        <v>0</v>
      </c>
      <c r="C6" s="41">
        <v>0.03</v>
      </c>
      <c r="D6" s="41">
        <v>0.14000000000000001</v>
      </c>
      <c r="E6" s="41">
        <v>3.0303030303030304E-2</v>
      </c>
      <c r="H6" s="132" t="s">
        <v>287</v>
      </c>
      <c r="I6" s="81">
        <v>1</v>
      </c>
      <c r="J6" s="18">
        <v>3.0303030303030304E-2</v>
      </c>
      <c r="K6" s="63"/>
    </row>
    <row r="7" spans="1:13" ht="17" thickBot="1" x14ac:dyDescent="0.25">
      <c r="A7" s="12" t="s">
        <v>272</v>
      </c>
      <c r="B7" s="41">
        <v>0</v>
      </c>
      <c r="C7" s="41">
        <v>0</v>
      </c>
      <c r="D7" s="41">
        <v>0</v>
      </c>
      <c r="E7" s="41">
        <v>3.0303030303030304E-2</v>
      </c>
      <c r="H7" s="132" t="s">
        <v>284</v>
      </c>
      <c r="I7" s="81">
        <v>1</v>
      </c>
      <c r="J7" s="18">
        <v>3.0303030303030304E-2</v>
      </c>
      <c r="K7" s="63"/>
    </row>
    <row r="8" spans="1:13" ht="17" thickBot="1" x14ac:dyDescent="0.25">
      <c r="A8" s="12" t="s">
        <v>273</v>
      </c>
      <c r="B8" s="41">
        <v>0</v>
      </c>
      <c r="C8" s="41">
        <v>0.06</v>
      </c>
      <c r="D8" s="41">
        <v>0.21</v>
      </c>
      <c r="E8" s="41">
        <v>0.12121212121212122</v>
      </c>
      <c r="H8" s="132" t="s">
        <v>214</v>
      </c>
      <c r="I8" s="81">
        <v>4</v>
      </c>
      <c r="J8" s="18">
        <v>0.12121212121212122</v>
      </c>
      <c r="K8" s="63"/>
    </row>
    <row r="9" spans="1:13" ht="17" thickBot="1" x14ac:dyDescent="0.25">
      <c r="A9" s="12" t="s">
        <v>274</v>
      </c>
      <c r="B9" s="41">
        <v>0</v>
      </c>
      <c r="C9" s="41">
        <v>0</v>
      </c>
      <c r="D9" s="41">
        <v>0</v>
      </c>
      <c r="E9" s="41">
        <v>0</v>
      </c>
      <c r="H9" s="132" t="s">
        <v>87</v>
      </c>
      <c r="I9" s="81">
        <v>2</v>
      </c>
      <c r="J9" s="18">
        <v>6.0606060606060608E-2</v>
      </c>
      <c r="K9" s="63"/>
    </row>
    <row r="10" spans="1:13" ht="17" thickBot="1" x14ac:dyDescent="0.25">
      <c r="A10" s="12" t="s">
        <v>275</v>
      </c>
      <c r="B10" s="41">
        <v>0</v>
      </c>
      <c r="C10" s="41">
        <v>0.06</v>
      </c>
      <c r="D10" s="41">
        <v>0</v>
      </c>
      <c r="E10" s="41">
        <v>0.06</v>
      </c>
      <c r="H10" s="132" t="s">
        <v>288</v>
      </c>
      <c r="I10" s="81">
        <v>2</v>
      </c>
      <c r="J10" s="18">
        <v>6.0606060606060608E-2</v>
      </c>
    </row>
    <row r="11" spans="1:13" ht="17" thickBot="1" x14ac:dyDescent="0.25">
      <c r="A11" s="12" t="s">
        <v>276</v>
      </c>
      <c r="B11" s="41">
        <v>0</v>
      </c>
      <c r="C11" s="41">
        <v>0.03</v>
      </c>
      <c r="D11" s="41">
        <v>0</v>
      </c>
      <c r="E11" s="41">
        <v>0</v>
      </c>
      <c r="H11" s="132" t="s">
        <v>285</v>
      </c>
      <c r="I11" s="81">
        <v>1</v>
      </c>
      <c r="J11" s="18">
        <v>3.0303030303030304E-2</v>
      </c>
    </row>
    <row r="12" spans="1:13" ht="17" thickBot="1" x14ac:dyDescent="0.25">
      <c r="A12" s="12" t="s">
        <v>277</v>
      </c>
      <c r="B12" s="41">
        <v>0</v>
      </c>
      <c r="C12" s="41">
        <v>0.03</v>
      </c>
      <c r="D12" s="41">
        <v>7.0000000000000007E-2</v>
      </c>
      <c r="E12" s="41">
        <v>0.06</v>
      </c>
      <c r="H12" s="132" t="s">
        <v>289</v>
      </c>
      <c r="I12" s="81">
        <v>3</v>
      </c>
      <c r="J12" s="18">
        <v>9.0909090909090925E-2</v>
      </c>
    </row>
    <row r="13" spans="1:13" ht="17" thickBot="1" x14ac:dyDescent="0.25">
      <c r="A13" s="12" t="s">
        <v>278</v>
      </c>
      <c r="B13" s="41">
        <v>0</v>
      </c>
      <c r="C13" s="41">
        <v>0</v>
      </c>
      <c r="D13" s="41">
        <v>0</v>
      </c>
      <c r="E13" s="41">
        <v>0.03</v>
      </c>
    </row>
    <row r="14" spans="1:13" ht="17" thickBot="1" x14ac:dyDescent="0.25">
      <c r="A14" s="12" t="s">
        <v>279</v>
      </c>
      <c r="B14" s="41">
        <v>0.2</v>
      </c>
      <c r="C14" s="41">
        <v>0</v>
      </c>
      <c r="D14" s="41">
        <v>0</v>
      </c>
      <c r="E14" s="41">
        <v>0</v>
      </c>
    </row>
    <row r="15" spans="1:13" ht="17" thickBot="1" x14ac:dyDescent="0.25">
      <c r="A15" s="71" t="s">
        <v>280</v>
      </c>
      <c r="B15" s="69">
        <v>0</v>
      </c>
      <c r="C15" s="69">
        <v>0.03</v>
      </c>
      <c r="D15" s="69">
        <v>7.0000000000000007E-2</v>
      </c>
      <c r="E15" s="69">
        <v>0.09</v>
      </c>
    </row>
    <row r="16" spans="1:13" ht="18" thickTop="1" thickBot="1" x14ac:dyDescent="0.25">
      <c r="A16" s="13" t="s">
        <v>12</v>
      </c>
      <c r="B16" s="14">
        <v>10</v>
      </c>
      <c r="C16" s="14">
        <v>32</v>
      </c>
      <c r="D16" s="14">
        <v>14</v>
      </c>
      <c r="E16" s="14">
        <v>33</v>
      </c>
    </row>
  </sheetData>
  <sortState xmlns:xlrd2="http://schemas.microsoft.com/office/spreadsheetml/2017/richdata2" ref="A8:C14">
    <sortCondition descending="1" ref="C8:C14"/>
  </sortState>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52CFF-A062-8345-BBD6-CDDF3461AABE}">
  <dimension ref="A1:I18"/>
  <sheetViews>
    <sheetView tabSelected="1" workbookViewId="0">
      <selection sqref="A1:E6"/>
    </sheetView>
  </sheetViews>
  <sheetFormatPr baseColWidth="10" defaultRowHeight="16" x14ac:dyDescent="0.2"/>
  <sheetData>
    <row r="1" spans="1:9" ht="34" x14ac:dyDescent="0.2">
      <c r="A1" t="s">
        <v>42</v>
      </c>
      <c r="B1" s="17" t="s">
        <v>124</v>
      </c>
      <c r="C1" s="17" t="s">
        <v>146</v>
      </c>
      <c r="D1" s="17" t="s">
        <v>194</v>
      </c>
      <c r="E1" s="17" t="s">
        <v>293</v>
      </c>
    </row>
    <row r="2" spans="1:9" x14ac:dyDescent="0.2">
      <c r="A2" t="s">
        <v>117</v>
      </c>
      <c r="B2" s="33"/>
      <c r="C2" s="33">
        <v>2.2727272727272731E-2</v>
      </c>
      <c r="D2" s="18"/>
      <c r="E2" s="18"/>
    </row>
    <row r="3" spans="1:9" x14ac:dyDescent="0.2">
      <c r="A3" t="s">
        <v>118</v>
      </c>
      <c r="B3" s="19">
        <v>0.17</v>
      </c>
      <c r="C3" s="19">
        <v>0.11</v>
      </c>
      <c r="D3" s="18">
        <v>0.10526315789473684</v>
      </c>
      <c r="E3" s="18">
        <v>3.0303030303030304E-2</v>
      </c>
      <c r="H3" t="s">
        <v>192</v>
      </c>
      <c r="I3" s="18">
        <v>3.0303030303030304E-2</v>
      </c>
    </row>
    <row r="4" spans="1:9" x14ac:dyDescent="0.2">
      <c r="A4" t="s">
        <v>119</v>
      </c>
      <c r="B4" s="19"/>
      <c r="C4" s="19">
        <v>0.3636363636363637</v>
      </c>
      <c r="D4" s="18">
        <v>0.31578947368421051</v>
      </c>
      <c r="E4" s="18">
        <v>0.30303030303030304</v>
      </c>
      <c r="H4" t="s">
        <v>119</v>
      </c>
      <c r="I4" s="18">
        <v>0.30303030303030304</v>
      </c>
    </row>
    <row r="5" spans="1:9" x14ac:dyDescent="0.2">
      <c r="A5" t="s">
        <v>120</v>
      </c>
      <c r="B5" s="19">
        <v>0.33</v>
      </c>
      <c r="C5" s="19">
        <v>0.22727272727272727</v>
      </c>
      <c r="D5" s="18">
        <v>0.31578947368421051</v>
      </c>
      <c r="E5" s="18">
        <v>0.3636363636363637</v>
      </c>
      <c r="H5" t="s">
        <v>191</v>
      </c>
      <c r="I5" s="18">
        <v>0.3636363636363637</v>
      </c>
    </row>
    <row r="6" spans="1:9" x14ac:dyDescent="0.2">
      <c r="A6" t="s">
        <v>121</v>
      </c>
      <c r="B6" s="19">
        <v>0.42</v>
      </c>
      <c r="C6" s="19">
        <v>0.13636363636363635</v>
      </c>
      <c r="D6" s="18">
        <v>0.10526315789473684</v>
      </c>
      <c r="E6" s="18">
        <v>0.30303030303030304</v>
      </c>
      <c r="H6" t="s">
        <v>121</v>
      </c>
      <c r="I6" s="18">
        <v>0.30303030303030304</v>
      </c>
    </row>
    <row r="7" spans="1:9" x14ac:dyDescent="0.2">
      <c r="I7" s="18"/>
    </row>
    <row r="8" spans="1:9" x14ac:dyDescent="0.2">
      <c r="I8" s="18"/>
    </row>
    <row r="11" spans="1:9" x14ac:dyDescent="0.2">
      <c r="A11" t="s">
        <v>290</v>
      </c>
    </row>
    <row r="12" spans="1:9" x14ac:dyDescent="0.2">
      <c r="A12" t="s">
        <v>151</v>
      </c>
      <c r="C12" t="s">
        <v>152</v>
      </c>
      <c r="D12" t="s">
        <v>153</v>
      </c>
      <c r="E12" t="s">
        <v>154</v>
      </c>
      <c r="F12" t="s">
        <v>155</v>
      </c>
      <c r="I12" s="18">
        <v>0.01</v>
      </c>
    </row>
    <row r="13" spans="1:9" x14ac:dyDescent="0.2">
      <c r="A13" t="s">
        <v>156</v>
      </c>
      <c r="B13" t="s">
        <v>121</v>
      </c>
      <c r="C13" s="18">
        <v>10</v>
      </c>
      <c r="D13">
        <v>30.303030303030305</v>
      </c>
      <c r="E13" s="18">
        <v>0.30303030303030304</v>
      </c>
      <c r="F13">
        <v>30.303030303030305</v>
      </c>
    </row>
    <row r="14" spans="1:9" x14ac:dyDescent="0.2">
      <c r="B14" t="s">
        <v>191</v>
      </c>
      <c r="C14" s="18">
        <v>12</v>
      </c>
      <c r="D14">
        <v>36.363636363636367</v>
      </c>
      <c r="E14" s="18">
        <v>0.3636363636363637</v>
      </c>
      <c r="F14">
        <v>66.666666666666657</v>
      </c>
    </row>
    <row r="15" spans="1:9" x14ac:dyDescent="0.2">
      <c r="B15" t="s">
        <v>119</v>
      </c>
      <c r="C15" s="18">
        <v>10</v>
      </c>
      <c r="D15">
        <v>30.303030303030305</v>
      </c>
      <c r="E15" s="18">
        <v>0.30303030303030304</v>
      </c>
      <c r="F15">
        <v>96.969696969696969</v>
      </c>
    </row>
    <row r="16" spans="1:9" x14ac:dyDescent="0.2">
      <c r="B16" t="s">
        <v>192</v>
      </c>
      <c r="C16" s="18">
        <v>1</v>
      </c>
      <c r="D16">
        <v>3.0303030303030303</v>
      </c>
      <c r="E16" s="18">
        <v>3.0303030303030304E-2</v>
      </c>
      <c r="F16">
        <v>100</v>
      </c>
    </row>
    <row r="17" spans="2:5" x14ac:dyDescent="0.2">
      <c r="B17" t="s">
        <v>157</v>
      </c>
      <c r="C17" s="18">
        <v>33</v>
      </c>
      <c r="D17">
        <v>100</v>
      </c>
      <c r="E17" s="18">
        <v>1</v>
      </c>
    </row>
    <row r="18" spans="2:5" x14ac:dyDescent="0.2">
      <c r="B18" t="s">
        <v>157</v>
      </c>
      <c r="C18" s="18">
        <v>1</v>
      </c>
      <c r="D18">
        <v>100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48</vt:i4>
      </vt:variant>
    </vt:vector>
  </HeadingPairs>
  <TitlesOfParts>
    <vt:vector size="48" baseType="lpstr">
      <vt:lpstr>Slide 6</vt:lpstr>
      <vt:lpstr>Slide 7</vt:lpstr>
      <vt:lpstr>Slide 8 </vt:lpstr>
      <vt:lpstr>Slide 9</vt:lpstr>
      <vt:lpstr>Slide 10</vt:lpstr>
      <vt:lpstr>Slide 11</vt:lpstr>
      <vt:lpstr>Slide 12</vt:lpstr>
      <vt:lpstr>Slide 13</vt:lpstr>
      <vt:lpstr>Slide 14</vt:lpstr>
      <vt:lpstr>Slide 15</vt:lpstr>
      <vt:lpstr>Slide 16</vt:lpstr>
      <vt:lpstr>Slide 17</vt:lpstr>
      <vt:lpstr>Slide 18</vt:lpstr>
      <vt:lpstr>Slide 19</vt:lpstr>
      <vt:lpstr>Slide 21</vt:lpstr>
      <vt:lpstr>Slide 22</vt:lpstr>
      <vt:lpstr>Slide 23</vt:lpstr>
      <vt:lpstr>Slide 24</vt:lpstr>
      <vt:lpstr>Slide 25</vt:lpstr>
      <vt:lpstr>Slide 26</vt:lpstr>
      <vt:lpstr>Slide 27</vt:lpstr>
      <vt:lpstr>Slide 28</vt:lpstr>
      <vt:lpstr>Slide 29</vt:lpstr>
      <vt:lpstr>Slide 30</vt:lpstr>
      <vt:lpstr>Slide 31</vt:lpstr>
      <vt:lpstr>Slie 32</vt:lpstr>
      <vt:lpstr>Slide 33</vt:lpstr>
      <vt:lpstr>Slide 35</vt:lpstr>
      <vt:lpstr>Slide 36</vt:lpstr>
      <vt:lpstr>Slide 37</vt:lpstr>
      <vt:lpstr>Slide 38</vt:lpstr>
      <vt:lpstr>Slide 39  </vt:lpstr>
      <vt:lpstr>Slide 40</vt:lpstr>
      <vt:lpstr>Slide 41</vt:lpstr>
      <vt:lpstr>Slide 43</vt:lpstr>
      <vt:lpstr>Slide 44</vt:lpstr>
      <vt:lpstr>Slide 45</vt:lpstr>
      <vt:lpstr>Slide 46</vt:lpstr>
      <vt:lpstr>Slide 48</vt:lpstr>
      <vt:lpstr>Slide 50</vt:lpstr>
      <vt:lpstr>Sheet1</vt:lpstr>
      <vt:lpstr>Slide 51</vt:lpstr>
      <vt:lpstr>Slide 55</vt:lpstr>
      <vt:lpstr>Slide 56</vt:lpstr>
      <vt:lpstr>Slide 57</vt:lpstr>
      <vt:lpstr>Slide 58</vt:lpstr>
      <vt:lpstr>Slide 59</vt:lpstr>
      <vt:lpstr>Slide 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Escalona Jr.</dc:creator>
  <cp:lastModifiedBy>pat escalona</cp:lastModifiedBy>
  <dcterms:created xsi:type="dcterms:W3CDTF">2023-08-02T23:36:32Z</dcterms:created>
  <dcterms:modified xsi:type="dcterms:W3CDTF">2025-02-12T21:47:07Z</dcterms:modified>
</cp:coreProperties>
</file>